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OS Receipt\"/>
    </mc:Choice>
  </mc:AlternateContent>
  <bookViews>
    <workbookView xWindow="480" yWindow="45" windowWidth="27795" windowHeight="12855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POS!$K$1:$N$23</definedName>
    <definedName name="RecNumb">OFFSET(Sales!$A$2,1,,COUNTA(Sales!$A$2:$A$99999)-1,1)</definedName>
  </definedNames>
  <calcPr calcId="162913"/>
</workbook>
</file>

<file path=xl/calcChain.xml><?xml version="1.0" encoding="utf-8"?>
<calcChain xmlns="http://schemas.openxmlformats.org/spreadsheetml/2006/main">
  <c r="I4" i="1" l="1"/>
  <c r="N10" i="1"/>
  <c r="M6" i="1" l="1"/>
  <c r="B7" i="1"/>
  <c r="D4" i="1" l="1"/>
  <c r="B5" i="1"/>
  <c r="I3" i="1"/>
  <c r="S3" i="1" l="1"/>
  <c r="S4" i="1"/>
  <c r="I5" i="1" l="1"/>
  <c r="S5" i="1" l="1"/>
  <c r="I8" i="1"/>
  <c r="S7" i="1" s="1"/>
</calcChain>
</file>

<file path=xl/sharedStrings.xml><?xml version="1.0" encoding="utf-8"?>
<sst xmlns="http://schemas.openxmlformats.org/spreadsheetml/2006/main" count="483" uniqueCount="105">
  <si>
    <t>Items</t>
  </si>
  <si>
    <t>Item ID</t>
  </si>
  <si>
    <t>Item Name</t>
  </si>
  <si>
    <t>Item Description</t>
  </si>
  <si>
    <t>Price</t>
  </si>
  <si>
    <t>Image</t>
  </si>
  <si>
    <t>Apple</t>
  </si>
  <si>
    <t>Banana</t>
  </si>
  <si>
    <t>Cherry</t>
  </si>
  <si>
    <t>Grapes</t>
  </si>
  <si>
    <t>Orange</t>
  </si>
  <si>
    <t>Peach</t>
  </si>
  <si>
    <t>Plum</t>
  </si>
  <si>
    <t>Raspberry</t>
  </si>
  <si>
    <t>Strawberry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</si>
  <si>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</si>
  <si>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</si>
  <si>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</si>
  <si>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</si>
  <si>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</si>
  <si>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</si>
  <si>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</si>
  <si>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</si>
  <si>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</si>
  <si>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</si>
  <si>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</si>
  <si>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</si>
  <si>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</si>
  <si>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</si>
  <si>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</si>
  <si>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</si>
  <si>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</si>
  <si>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</si>
  <si>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</si>
  <si>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</si>
  <si>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</si>
  <si>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</si>
  <si>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</si>
  <si>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</si>
  <si>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</si>
  <si>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</si>
  <si>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</si>
  <si>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09638710016</t>
  </si>
  <si>
    <t>Ashad</t>
  </si>
  <si>
    <t>152, SanyuanLi, GZ, China</t>
  </si>
  <si>
    <t>KN95</t>
  </si>
  <si>
    <t>Respirator Mask CE &amp; FDA Certified</t>
  </si>
  <si>
    <t>3M N95 8210V</t>
  </si>
  <si>
    <t>Respirator Particle Face Mask</t>
  </si>
  <si>
    <t>Heater</t>
  </si>
  <si>
    <t>Item Name:</t>
  </si>
  <si>
    <t>A589</t>
  </si>
  <si>
    <t>H:\Products\Mask\KN95 Respirator FFP2.jpg</t>
  </si>
  <si>
    <t>A0589</t>
  </si>
  <si>
    <t>H:\Products\Mask\3M 8210V.jpg</t>
  </si>
  <si>
    <t>3M N95 8210</t>
  </si>
  <si>
    <t>3M N95 8210 Plus</t>
  </si>
  <si>
    <t>KN95 Disposable</t>
  </si>
  <si>
    <t>KN95 Normal mask</t>
  </si>
  <si>
    <t xml:space="preserve">Respirator Face Mask </t>
  </si>
  <si>
    <t>Jziki IrDA Thermometer</t>
  </si>
  <si>
    <t>Non-contact IrDA Forehead Temp. Gun</t>
  </si>
  <si>
    <t>Infrared Thermometer</t>
  </si>
  <si>
    <t>Pulse Oxymeter-303</t>
  </si>
  <si>
    <t>Test The Hemoglobin Saturation &amp; Pulse</t>
  </si>
  <si>
    <t>Digital BP Machine</t>
  </si>
  <si>
    <t xml:space="preserve">Digital Automatic Arm BP Monitor </t>
  </si>
  <si>
    <t>Protective Equipment, Disposable</t>
  </si>
  <si>
    <t>3M PPE 4515 Blue</t>
  </si>
  <si>
    <t>Face Shield Full Set</t>
  </si>
  <si>
    <t>Strong Protection From Germ Particles</t>
  </si>
  <si>
    <t>Face Shield Single Head</t>
  </si>
  <si>
    <t>Plastic Made Face Shield</t>
  </si>
  <si>
    <t>UV Starilizer Box For Mobile, Small Items</t>
  </si>
  <si>
    <t xml:space="preserve">Sterilizer Scanner </t>
  </si>
  <si>
    <t>Sterilizer Scanner wireless</t>
  </si>
  <si>
    <t>H:\Products\Mask\3M 8210.jpg</t>
  </si>
  <si>
    <t>H:\Products\Mask\3M 8210 Plus.jpg</t>
  </si>
  <si>
    <t>H:\Products\Mask\KN95 Disposable Protective.jpg</t>
  </si>
  <si>
    <t>H:\Products\Mask\KN95 Mask.jpg</t>
  </si>
  <si>
    <t>H:\Products\Thermometer\Jziki Infrared Thermometer.jpg</t>
  </si>
  <si>
    <t>H:\Products\Thermometer\Non-contact Thermometer.jpg</t>
  </si>
  <si>
    <t>H:\Products\Oxymeter\Pulse Oxymeter.jpg</t>
  </si>
  <si>
    <t>H:\Products\BP Machine\Digital BP Machine.jpg</t>
  </si>
  <si>
    <t>H:\Products\PPE\3M 4515 PPE Blue.jpg</t>
  </si>
  <si>
    <t>H:\Products\Googles\Face shield full.jpg</t>
  </si>
  <si>
    <t>H:\Products\Googles\Face shield.jpg</t>
  </si>
  <si>
    <t>H:\Products\Sterilizer Box\Sterilizer Box.jpg</t>
  </si>
  <si>
    <t>H:\Products\Sterilizer Box\Sterilizer Box with wireless.jpg</t>
  </si>
  <si>
    <t>Non-chemical Mango From Rajshahi</t>
  </si>
  <si>
    <t>Khirsapaat Mango</t>
  </si>
  <si>
    <t>Courier Charge</t>
  </si>
  <si>
    <r>
      <t>China Bangla (</t>
    </r>
    <r>
      <rPr>
        <u val="double"/>
        <sz val="12"/>
        <rFont val="Calibri"/>
        <family val="2"/>
        <scheme val="minor"/>
      </rPr>
      <t>中-猛</t>
    </r>
    <r>
      <rPr>
        <u val="double"/>
        <sz val="12"/>
        <color theme="1"/>
        <rFont val="Calibri"/>
        <family val="2"/>
        <scheme val="minor"/>
      </rPr>
      <t>) Mega Mall</t>
    </r>
  </si>
  <si>
    <t>10L Oxygen Cylinder</t>
  </si>
  <si>
    <t>Empty 10L Capacity Oxygen Cylinder</t>
  </si>
  <si>
    <t>Oxygen Flow Meter</t>
  </si>
  <si>
    <t>Oxygen Flow Gauge Meter</t>
  </si>
  <si>
    <t>Card</t>
  </si>
  <si>
    <t>Freig Fee:</t>
  </si>
  <si>
    <t>H:\Products\Cylinder\10L Oxygen Cylinder.jpg</t>
  </si>
  <si>
    <t>H:\Products\Cylinder\Oxygen Flowmeter.jpg</t>
  </si>
  <si>
    <t xml:space="preserve">10ml Spray Bottle </t>
  </si>
  <si>
    <t xml:space="preserve">Empty 10ml Spray Bottle </t>
  </si>
  <si>
    <t>1000</t>
  </si>
  <si>
    <t>5340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</si>
</sst>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_ [$৳-845]\ * #,##0.00_ ;_ [$৳-845]\ * \-#,##0.00_ ;_ [$৳-845]\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u val="double"/>
      <sz val="12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u val="double"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7" borderId="3" xfId="0" applyFill="1" applyBorder="1"/>
    <xf numFmtId="0" fontId="0" fillId="6" borderId="4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7" borderId="8" xfId="0" applyFill="1" applyBorder="1" applyAlignment="1">
      <alignment horizontal="center"/>
    </xf>
    <xf numFmtId="44" fontId="0" fillId="7" borderId="0" xfId="1" applyFont="1" applyFill="1"/>
    <xf numFmtId="44" fontId="0" fillId="0" borderId="0" xfId="1" applyFont="1"/>
    <xf numFmtId="44" fontId="0" fillId="7" borderId="0" xfId="1" applyFont="1" applyFill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0" fillId="0" borderId="0" xfId="0" applyAlignment="1">
      <alignment horizontal="right"/>
    </xf>
    <xf numFmtId="49" fontId="0" fillId="7" borderId="3" xfId="0" applyNumberFormat="1" applyFill="1" applyBorder="1" applyAlignment="1">
      <alignment horizontal="right"/>
    </xf>
    <xf numFmtId="49" fontId="0" fillId="7" borderId="3" xfId="1" applyNumberFormat="1" applyFont="1" applyFill="1" applyBorder="1" applyAlignment="1">
      <alignment horizontal="right"/>
    </xf>
    <xf numFmtId="44" fontId="0" fillId="0" borderId="0" xfId="1" applyFont="1" applyAlignment="1">
      <alignment horizontal="right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2" fontId="0" fillId="0" borderId="0" xfId="0" applyNumberFormat="1" applyAlignment="1"/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7" fontId="0" fillId="7" borderId="0" xfId="1" applyNumberFormat="1" applyFont="1" applyFill="1" applyAlignment="1">
      <alignment horizontal="right"/>
    </xf>
    <xf numFmtId="164" fontId="0" fillId="6" borderId="3" xfId="1" applyNumberFormat="1" applyFont="1" applyFill="1" applyBorder="1"/>
    <xf numFmtId="164" fontId="0" fillId="7" borderId="3" xfId="1" applyNumberFormat="1" applyFont="1" applyFill="1" applyBorder="1" applyAlignment="1">
      <alignment horizontal="right"/>
    </xf>
    <xf numFmtId="164" fontId="0" fillId="7" borderId="0" xfId="1" applyNumberFormat="1" applyFont="1" applyFill="1"/>
    <xf numFmtId="164" fontId="0" fillId="7" borderId="0" xfId="1" applyNumberFormat="1" applyFont="1" applyFill="1" applyAlignment="1">
      <alignment horizontal="right"/>
    </xf>
    <xf numFmtId="0" fontId="0" fillId="0" borderId="0" xfId="0" applyFont="1"/>
    <xf numFmtId="0" fontId="0" fillId="9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0" borderId="0" xfId="0" applyNumberFormat="1"/>
    <xf numFmtId="164" fontId="0" fillId="9" borderId="1" xfId="0" applyNumberFormat="1" applyFill="1" applyBorder="1" applyAlignment="1">
      <alignment horizontal="center"/>
    </xf>
    <xf numFmtId="0" fontId="0" fillId="0" borderId="0" xfId="0" applyAlignment="1"/>
    <xf numFmtId="44" fontId="0" fillId="7" borderId="0" xfId="1" applyFont="1" applyFill="1" applyAlignment="1"/>
    <xf numFmtId="0" fontId="0" fillId="7" borderId="0" xfId="0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5" fillId="6" borderId="4" xfId="0" applyFont="1" applyFill="1" applyBorder="1" applyAlignment="1">
      <alignment horizontal="left"/>
    </xf>
    <xf numFmtId="0" fontId="5" fillId="6" borderId="5" xfId="0" applyFont="1" applyFill="1" applyBorder="1" applyAlignment="1">
      <alignment horizontal="left"/>
    </xf>
    <xf numFmtId="0" fontId="5" fillId="6" borderId="6" xfId="0" applyFont="1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3" fillId="7" borderId="0" xfId="0" applyFont="1" applyFill="1" applyAlignment="1">
      <alignment horizontal="center"/>
    </xf>
    <xf numFmtId="49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22" fontId="0" fillId="7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5</xdr:col>
      <xdr:colOff>664350</xdr:colOff>
      <xdr:row>23</xdr:row>
      <xdr:rowOff>53340</xdr:rowOff>
    </xdr:to>
    <xdr:grpSp>
      <xdr:nvGrpSpPr>
        <xdr:cNvPr id="30" name="Group 29"/>
        <xdr:cNvGrpSpPr/>
      </xdr:nvGrpSpPr>
      <xdr:grpSpPr>
        <a:xfrm>
          <a:off x="1803677" y="2400300"/>
          <a:ext cx="1994398" cy="2386965"/>
          <a:chOff x="1571625" y="2390775"/>
          <a:chExt cx="1992630" cy="2386965"/>
        </a:xfrm>
      </xdr:grpSpPr>
      <xdr:sp macro="[0]!EnterNumberBtn" textlink="">
        <xdr:nvSpPr>
          <xdr:cNvPr id="9" name="Butn1"/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/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/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/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/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/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/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/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/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/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/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/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/>
        <xdr:cNvGrpSpPr/>
      </xdr:nvGrpSpPr>
      <xdr:grpSpPr>
        <a:xfrm>
          <a:off x="4238625" y="2400300"/>
          <a:ext cx="457202" cy="548640"/>
          <a:chOff x="3895725" y="2390775"/>
          <a:chExt cx="457200" cy="548640"/>
        </a:xfrm>
      </xdr:grpSpPr>
      <xdr:sp macro="[0]!EnterPayType" textlink="">
        <xdr:nvSpPr>
          <xdr:cNvPr id="21" name="Cash"/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/>
        <xdr:cNvGrpSpPr/>
      </xdr:nvGrpSpPr>
      <xdr:grpSpPr>
        <a:xfrm>
          <a:off x="4738688" y="2400300"/>
          <a:ext cx="457200" cy="548640"/>
          <a:chOff x="4395787" y="2390775"/>
          <a:chExt cx="457200" cy="548640"/>
        </a:xfrm>
      </xdr:grpSpPr>
      <xdr:sp macro="[0]!EnterPayType" textlink="">
        <xdr:nvSpPr>
          <xdr:cNvPr id="22" name="Card"/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647699</xdr:colOff>
      <xdr:row>13</xdr:row>
      <xdr:rowOff>120015</xdr:rowOff>
    </xdr:to>
    <xdr:grpSp>
      <xdr:nvGrpSpPr>
        <xdr:cNvPr id="29" name="Group 28"/>
        <xdr:cNvGrpSpPr/>
      </xdr:nvGrpSpPr>
      <xdr:grpSpPr>
        <a:xfrm>
          <a:off x="5238750" y="2400300"/>
          <a:ext cx="457199" cy="548640"/>
          <a:chOff x="4905375" y="2390775"/>
          <a:chExt cx="457200" cy="548640"/>
        </a:xfrm>
      </xdr:grpSpPr>
      <xdr:sp macro="[0]!EnterPayType" textlink="">
        <xdr:nvSpPr>
          <xdr:cNvPr id="23" name="Check"/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657226</xdr:colOff>
      <xdr:row>16</xdr:row>
      <xdr:rowOff>161290</xdr:rowOff>
    </xdr:to>
    <xdr:grpSp>
      <xdr:nvGrpSpPr>
        <xdr:cNvPr id="32" name="PaymentBtn"/>
        <xdr:cNvGrpSpPr/>
      </xdr:nvGrpSpPr>
      <xdr:grpSpPr>
        <a:xfrm>
          <a:off x="4238625" y="3013075"/>
          <a:ext cx="1466851" cy="548640"/>
          <a:chOff x="3933825" y="3060700"/>
          <a:chExt cx="1466850" cy="548640"/>
        </a:xfrm>
      </xdr:grpSpPr>
      <xdr:sp macro="[0]!EnterPayemntCell" textlink="">
        <xdr:nvSpPr>
          <xdr:cNvPr id="24" name="Butn6"/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8</xdr:col>
      <xdr:colOff>676276</xdr:colOff>
      <xdr:row>23</xdr:row>
      <xdr:rowOff>53340</xdr:rowOff>
    </xdr:to>
    <xdr:grpSp>
      <xdr:nvGrpSpPr>
        <xdr:cNvPr id="31" name="NextBtn"/>
        <xdr:cNvGrpSpPr/>
      </xdr:nvGrpSpPr>
      <xdr:grpSpPr>
        <a:xfrm>
          <a:off x="4257675" y="4238625"/>
          <a:ext cx="1466851" cy="548640"/>
          <a:chOff x="3933825" y="4229100"/>
          <a:chExt cx="1466850" cy="548640"/>
        </a:xfrm>
      </xdr:grpSpPr>
      <xdr:sp macro="[0]!SaveAndClear" textlink="">
        <xdr:nvSpPr>
          <xdr:cNvPr id="26" name="Butn6"/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8</xdr:col>
      <xdr:colOff>666751</xdr:colOff>
      <xdr:row>20</xdr:row>
      <xdr:rowOff>12065</xdr:rowOff>
    </xdr:to>
    <xdr:grpSp>
      <xdr:nvGrpSpPr>
        <xdr:cNvPr id="33" name="PrintBtn"/>
        <xdr:cNvGrpSpPr/>
      </xdr:nvGrpSpPr>
      <xdr:grpSpPr>
        <a:xfrm>
          <a:off x="4248150" y="3625850"/>
          <a:ext cx="1466851" cy="548640"/>
          <a:chOff x="3933825" y="3632200"/>
          <a:chExt cx="1466850" cy="548640"/>
        </a:xfrm>
      </xdr:grpSpPr>
      <xdr:sp macro="[0]!PrintReceipt" textlink="">
        <xdr:nvSpPr>
          <xdr:cNvPr id="25" name="Butn6"/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0</xdr:colOff>
      <xdr:row>18</xdr:row>
      <xdr:rowOff>0</xdr:rowOff>
    </xdr:from>
    <xdr:to>
      <xdr:col>13</xdr:col>
      <xdr:colOff>452442</xdr:colOff>
      <xdr:row>23</xdr:row>
      <xdr:rowOff>133351</xdr:rowOff>
    </xdr:to>
    <xdr:grpSp>
      <xdr:nvGrpSpPr>
        <xdr:cNvPr id="36" name="FooterGrp" hidden="1"/>
        <xdr:cNvGrpSpPr/>
      </xdr:nvGrpSpPr>
      <xdr:grpSpPr>
        <a:xfrm>
          <a:off x="6448425" y="3781425"/>
          <a:ext cx="2490792" cy="1085851"/>
          <a:chOff x="6072915" y="4648199"/>
          <a:chExt cx="2505470" cy="1085851"/>
        </a:xfrm>
      </xdr:grpSpPr>
      <xdr:sp macro="" textlink="">
        <xdr:nvSpPr>
          <xdr:cNvPr id="34" name="TextBox 33" hidden="1"/>
          <xdr:cNvSpPr txBox="1"/>
        </xdr:nvSpPr>
        <xdr:spPr>
          <a:xfrm>
            <a:off x="6139985" y="4648199"/>
            <a:ext cx="2438400" cy="714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For Shopping With Us!   Join the store at: </a:t>
            </a:r>
            <a:r>
              <a:rPr lang="en-US">
                <a:hlinkClick xmlns:r="http://schemas.openxmlformats.org/officeDocument/2006/relationships" r:id=""/>
              </a:rPr>
              <a:t>https://www.facebook.com/cbmm20</a:t>
            </a:r>
            <a:endParaRPr lang="en-US" sz="1100" b="1"/>
          </a:p>
        </xdr:txBody>
      </xdr:sp>
      <xdr:sp macro="" textlink="$M$5">
        <xdr:nvSpPr>
          <xdr:cNvPr id="35" name="TextBox 34" hidden="1"/>
          <xdr:cNvSpPr txBox="1"/>
        </xdr:nvSpPr>
        <xdr:spPr>
          <a:xfrm>
            <a:off x="6072915" y="5276849"/>
            <a:ext cx="2471931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Free 3 of 9 Extended" pitchFamily="2" charset="0"/>
                <a:cs typeface="Calibri"/>
              </a:rPr>
              <a:pPr algn="ctr"/>
              <a:t>202075</a:t>
            </a:fld>
            <a:endParaRPr lang="en-US" sz="3600" b="1">
              <a:latin typeface="Free 3 of 9 Extended" pitchFamily="2" charset="0"/>
            </a:endParaRPr>
          </a:p>
        </xdr:txBody>
      </xdr:sp>
    </xdr:grpSp>
    <xdr:clientData/>
  </xdr:twoCellAnchor>
  <xdr:twoCellAnchor editAs="oneCell">
    <xdr:from>
      <xdr:col>11</xdr:col>
      <xdr:colOff>202857</xdr:colOff>
      <xdr:row>3</xdr:row>
      <xdr:rowOff>38102</xdr:rowOff>
    </xdr:from>
    <xdr:to>
      <xdr:col>11</xdr:col>
      <xdr:colOff>385737</xdr:colOff>
      <xdr:row>3</xdr:row>
      <xdr:rowOff>166989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4707" y="962027"/>
          <a:ext cx="182880" cy="128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S62"/>
  <sheetViews>
    <sheetView showGridLines="0" tabSelected="1" zoomScaleNormal="100" workbookViewId="0">
      <selection activeCell="I7" sqref="I7"/>
    </sheetView>
  </sheetViews>
  <sheetFormatPr defaultRowHeight="15" x14ac:dyDescent="0.25"/>
  <cols>
    <col min="1" max="1" width="11" bestFit="1" customWidth="1"/>
    <col min="3" max="3" width="6.85546875" customWidth="1"/>
    <col min="4" max="4" width="10.85546875" bestFit="1" customWidth="1"/>
    <col min="6" max="6" width="10.42578125" customWidth="1"/>
    <col min="9" max="9" width="11.85546875" customWidth="1"/>
    <col min="11" max="11" width="11" customWidth="1"/>
    <col min="13" max="13" width="10.42578125" customWidth="1"/>
    <col min="14" max="14" width="14.140625" customWidth="1"/>
    <col min="15" max="15" width="70.140625" customWidth="1"/>
    <col min="19" max="19" width="11.7109375" customWidth="1"/>
  </cols>
  <sheetData>
    <row r="1" spans="1:19" ht="42" x14ac:dyDescent="0.65">
      <c r="A1" s="3"/>
      <c r="B1" s="3"/>
      <c r="C1" s="40" t="s">
        <v>15</v>
      </c>
      <c r="D1" s="40"/>
      <c r="E1" s="40"/>
      <c r="F1" s="40"/>
      <c r="G1" s="40"/>
      <c r="H1" s="40"/>
      <c r="I1" s="40"/>
      <c r="J1" s="40"/>
      <c r="K1" s="48" t="s">
        <v>26</v>
      </c>
      <c r="L1" s="48"/>
      <c r="M1" s="48"/>
      <c r="N1" s="48"/>
      <c r="O1" s="4"/>
    </row>
    <row r="2" spans="1:19" ht="15.75" x14ac:dyDescent="0.25">
      <c r="A2" s="3"/>
      <c r="B2" s="3"/>
      <c r="C2" s="5"/>
      <c r="D2" s="5"/>
      <c r="E2" s="5"/>
      <c r="F2" s="5"/>
      <c r="G2" s="5"/>
      <c r="H2" s="5"/>
      <c r="I2" s="5"/>
      <c r="J2" s="5"/>
      <c r="K2" s="51" t="s">
        <v>92</v>
      </c>
      <c r="L2" s="51"/>
      <c r="M2" s="51"/>
      <c r="N2" s="51"/>
      <c r="O2" s="5"/>
    </row>
    <row r="3" spans="1:19" x14ac:dyDescent="0.25">
      <c r="A3" s="3"/>
      <c r="B3" s="3"/>
      <c r="C3" s="6"/>
      <c r="D3" s="10" t="s">
        <v>50</v>
      </c>
      <c r="E3" s="41" t="s">
        <v>101</v>
      </c>
      <c r="F3" s="42"/>
      <c r="G3" s="6"/>
      <c r="H3" s="8" t="s">
        <v>16</v>
      </c>
      <c r="I3" s="28">
        <f>SUMIF(K10:K999,"&lt;&gt;",N10:N999)</f>
        <v>17800</v>
      </c>
      <c r="J3" s="6"/>
      <c r="K3" s="50" t="s">
        <v>44</v>
      </c>
      <c r="L3" s="50"/>
      <c r="M3" s="50"/>
      <c r="N3" s="50"/>
      <c r="O3" s="6"/>
      <c r="R3" s="18" t="s">
        <v>16</v>
      </c>
      <c r="S3" s="21">
        <f>I3</f>
        <v>17800</v>
      </c>
    </row>
    <row r="4" spans="1:19" x14ac:dyDescent="0.25">
      <c r="A4" s="16" t="s">
        <v>35</v>
      </c>
      <c r="B4" s="17" t="b">
        <v>0</v>
      </c>
      <c r="C4" s="6"/>
      <c r="D4" s="43" t="str">
        <f ca="1">IFERROR(INDEX(Item_Desc,MATCH(E3,Item_Name,0),1),"")</f>
        <v/>
      </c>
      <c r="E4" s="44"/>
      <c r="F4" s="45"/>
      <c r="G4" s="6"/>
      <c r="H4" s="8" t="s">
        <v>98</v>
      </c>
      <c r="I4" s="28">
        <f>I3*0</f>
        <v>0</v>
      </c>
      <c r="J4" s="6"/>
      <c r="K4" s="49" t="s">
        <v>42</v>
      </c>
      <c r="L4" s="49"/>
      <c r="M4" s="49"/>
      <c r="N4" s="49"/>
      <c r="O4" s="6"/>
      <c r="R4" s="18" t="s">
        <v>17</v>
      </c>
      <c r="S4" s="21">
        <f>I4</f>
        <v>0</v>
      </c>
    </row>
    <row r="5" spans="1:19" x14ac:dyDescent="0.25">
      <c r="A5" s="16" t="s">
        <v>36</v>
      </c>
      <c r="B5" s="17" t="str">
        <f ca="1">IFERROR(MATCH(E10,Item_ID,0)+2,"")</f>
        <v/>
      </c>
      <c r="C5" s="6"/>
      <c r="D5" s="6"/>
      <c r="E5" s="6"/>
      <c r="F5" s="6"/>
      <c r="G5" s="6"/>
      <c r="H5" s="8" t="s">
        <v>19</v>
      </c>
      <c r="I5" s="28">
        <f>SUM(I3:I4)</f>
        <v>17800</v>
      </c>
      <c r="J5" s="6"/>
      <c r="K5" s="7"/>
      <c r="L5" s="11" t="s">
        <v>27</v>
      </c>
      <c r="M5" s="39">
        <v>202075</v>
      </c>
      <c r="N5" s="39"/>
      <c r="O5" s="6"/>
      <c r="R5" s="18" t="s">
        <v>19</v>
      </c>
      <c r="S5" s="21">
        <f>I5</f>
        <v>17800</v>
      </c>
    </row>
    <row r="6" spans="1:19" x14ac:dyDescent="0.25">
      <c r="A6" s="16" t="s">
        <v>37</v>
      </c>
      <c r="B6" s="17">
        <v>10</v>
      </c>
      <c r="C6" s="6"/>
      <c r="D6" s="6"/>
      <c r="E6" s="8" t="s">
        <v>23</v>
      </c>
      <c r="F6" s="29">
        <v>17.8</v>
      </c>
      <c r="G6" s="6"/>
      <c r="H6" s="8" t="s">
        <v>20</v>
      </c>
      <c r="I6" s="9" t="s">
        <v>97</v>
      </c>
      <c r="J6" s="6"/>
      <c r="K6" s="7"/>
      <c r="L6" s="11" t="s">
        <v>28</v>
      </c>
      <c r="M6" s="52">
        <f ca="1">NOW()</f>
        <v>43998.902143981482</v>
      </c>
      <c r="N6" s="39"/>
      <c r="O6" s="6"/>
      <c r="R6" s="18" t="s">
        <v>34</v>
      </c>
      <c r="S6" s="21">
        <v>0</v>
      </c>
    </row>
    <row r="7" spans="1:19" x14ac:dyDescent="0.25">
      <c r="A7" s="16" t="s">
        <v>38</v>
      </c>
      <c r="B7" s="17">
        <f ca="1">IFERROR(MAX(RecNumb)+1,1000)</f>
        <v>202075</v>
      </c>
      <c r="C7" s="6"/>
      <c r="D7" s="6"/>
      <c r="E7" s="6"/>
      <c r="F7" s="6"/>
      <c r="G7" s="6"/>
      <c r="H7" s="8" t="s">
        <v>21</v>
      </c>
      <c r="I7" s="20" t="s">
        <v>104</v>
      </c>
      <c r="J7" s="6"/>
      <c r="K7" s="7"/>
      <c r="L7" s="11" t="s">
        <v>31</v>
      </c>
      <c r="M7" s="39" t="s">
        <v>53</v>
      </c>
      <c r="N7" s="39"/>
      <c r="O7" s="6"/>
      <c r="R7" s="18" t="s">
        <v>22</v>
      </c>
      <c r="S7" s="21">
        <f>I8</f>
        <v>-12460</v>
      </c>
    </row>
    <row r="8" spans="1:19" x14ac:dyDescent="0.25">
      <c r="A8" s="3"/>
      <c r="B8" s="3"/>
      <c r="C8" s="6"/>
      <c r="D8" s="6"/>
      <c r="E8" s="8" t="s">
        <v>24</v>
      </c>
      <c r="F8" s="19" t="s">
        <v>103</v>
      </c>
      <c r="G8" s="6"/>
      <c r="H8" s="8" t="s">
        <v>22</v>
      </c>
      <c r="I8" s="28">
        <f>I7-I5</f>
        <v>-12460</v>
      </c>
      <c r="J8" s="6"/>
      <c r="K8" s="7"/>
      <c r="L8" s="7"/>
      <c r="M8" s="7"/>
      <c r="N8" s="7"/>
      <c r="O8" s="6"/>
    </row>
    <row r="9" spans="1:19" x14ac:dyDescent="0.25">
      <c r="A9" s="3"/>
      <c r="B9" s="3"/>
      <c r="C9" s="6"/>
      <c r="D9" s="6"/>
      <c r="E9" s="6"/>
      <c r="F9" s="6"/>
      <c r="G9" s="6"/>
      <c r="H9" s="6"/>
      <c r="I9" s="6"/>
      <c r="J9" s="6"/>
      <c r="K9" s="12" t="s">
        <v>32</v>
      </c>
      <c r="L9" s="12" t="s">
        <v>33</v>
      </c>
      <c r="M9" s="12" t="s">
        <v>4</v>
      </c>
      <c r="N9" s="12" t="s">
        <v>18</v>
      </c>
      <c r="O9" s="6"/>
      <c r="R9" s="18"/>
    </row>
    <row r="10" spans="1:19" x14ac:dyDescent="0.25">
      <c r="A10" s="3"/>
      <c r="B10" s="3"/>
      <c r="C10" s="6"/>
      <c r="D10" s="8" t="s">
        <v>25</v>
      </c>
      <c r="E10" s="46"/>
      <c r="F10" s="47"/>
      <c r="G10" s="6"/>
      <c r="H10" s="6"/>
      <c r="I10" s="6"/>
      <c r="J10" s="6"/>
      <c r="K10" s="7" t="s">
        <v>101</v>
      </c>
      <c r="L10" s="25">
        <v>1000</v>
      </c>
      <c r="M10" s="31">
        <v>17.8</v>
      </c>
      <c r="N10" s="30">
        <f>L10*M10</f>
        <v>17800</v>
      </c>
      <c r="O10" s="6"/>
      <c r="R10" s="18"/>
    </row>
    <row r="11" spans="1:19" x14ac:dyDescent="0.25">
      <c r="A11" s="3"/>
      <c r="B11" s="3"/>
      <c r="C11" s="6"/>
      <c r="D11" s="6"/>
      <c r="E11" s="6"/>
      <c r="F11" s="6"/>
      <c r="G11" s="6"/>
      <c r="H11" s="6"/>
      <c r="I11" s="6"/>
      <c r="J11" s="6"/>
      <c r="K11" s="7"/>
      <c r="L11" s="25"/>
      <c r="M11" s="31"/>
      <c r="N11" s="30"/>
      <c r="O11" s="6"/>
      <c r="R11" s="18"/>
    </row>
    <row r="12" spans="1:19" x14ac:dyDescent="0.25">
      <c r="A12" s="3"/>
      <c r="B12" s="3"/>
      <c r="C12" s="6"/>
      <c r="D12" s="6"/>
      <c r="E12" s="6"/>
      <c r="F12" s="6"/>
      <c r="G12" s="6"/>
      <c r="H12" s="6"/>
      <c r="I12" s="6"/>
      <c r="J12" s="6"/>
      <c r="K12" s="7"/>
      <c r="L12" s="25"/>
      <c r="M12" s="31"/>
      <c r="N12" s="30"/>
      <c r="O12" s="6"/>
      <c r="R12" s="18"/>
    </row>
    <row r="13" spans="1:19" x14ac:dyDescent="0.25">
      <c r="A13" s="3"/>
      <c r="B13" s="3"/>
      <c r="C13" s="6"/>
      <c r="D13" s="6"/>
      <c r="E13" s="6"/>
      <c r="F13" s="6"/>
      <c r="G13" s="6"/>
      <c r="H13" s="6"/>
      <c r="I13" s="6"/>
      <c r="J13" s="6"/>
      <c r="K13" s="7"/>
      <c r="L13" s="25"/>
      <c r="M13" s="31"/>
      <c r="N13" s="30"/>
      <c r="O13" s="6"/>
      <c r="R13" s="18"/>
    </row>
    <row r="14" spans="1:19" x14ac:dyDescent="0.25">
      <c r="A14" s="3"/>
      <c r="B14" s="3"/>
      <c r="C14" s="6"/>
      <c r="D14" s="6"/>
      <c r="E14" s="6"/>
      <c r="F14" s="6"/>
      <c r="G14" s="6"/>
      <c r="H14" s="6"/>
      <c r="I14" s="6"/>
      <c r="J14" s="6"/>
      <c r="K14" s="7"/>
      <c r="L14" s="25"/>
      <c r="M14" s="31"/>
      <c r="N14" s="30"/>
      <c r="O14" s="6"/>
    </row>
    <row r="15" spans="1:19" x14ac:dyDescent="0.25">
      <c r="A15" s="3"/>
      <c r="B15" s="3"/>
      <c r="C15" s="6"/>
      <c r="D15" s="6"/>
      <c r="E15" s="6"/>
      <c r="F15" s="6"/>
      <c r="G15" s="6"/>
      <c r="H15" s="6"/>
      <c r="I15" s="6"/>
      <c r="J15" s="6"/>
      <c r="K15" s="7"/>
      <c r="L15" s="25"/>
      <c r="M15" s="27"/>
      <c r="N15" s="30"/>
      <c r="O15" s="6"/>
      <c r="P15" s="18"/>
      <c r="Q15" s="21"/>
    </row>
    <row r="16" spans="1:19" x14ac:dyDescent="0.25">
      <c r="A16" s="3"/>
      <c r="B16" s="3"/>
      <c r="C16" s="6"/>
      <c r="D16" s="6"/>
      <c r="E16" s="6"/>
      <c r="F16" s="6"/>
      <c r="G16" s="6"/>
      <c r="H16" s="6"/>
      <c r="I16" s="6"/>
      <c r="J16" s="6"/>
      <c r="K16" s="7"/>
      <c r="L16" s="25"/>
      <c r="M16" s="15"/>
      <c r="N16" s="30"/>
      <c r="O16" s="6"/>
      <c r="P16" s="18"/>
      <c r="Q16" s="21"/>
    </row>
    <row r="17" spans="1:17" x14ac:dyDescent="0.25">
      <c r="A17" s="3"/>
      <c r="B17" s="3"/>
      <c r="C17" s="6"/>
      <c r="D17" s="6"/>
      <c r="E17" s="6"/>
      <c r="F17" s="6"/>
      <c r="G17" s="6"/>
      <c r="H17" s="6"/>
      <c r="I17" s="6"/>
      <c r="J17" s="6"/>
      <c r="K17" s="7"/>
      <c r="L17" s="25"/>
      <c r="M17" s="15"/>
      <c r="N17" s="30"/>
      <c r="O17" s="6"/>
      <c r="P17" s="18"/>
      <c r="Q17" s="21"/>
    </row>
    <row r="18" spans="1:17" x14ac:dyDescent="0.25">
      <c r="A18" s="3"/>
      <c r="B18" s="3"/>
      <c r="C18" s="6"/>
      <c r="D18" s="6"/>
      <c r="E18" s="6"/>
      <c r="F18" s="6"/>
      <c r="G18" s="6"/>
      <c r="H18" s="6"/>
      <c r="I18" s="6"/>
      <c r="J18" s="6"/>
      <c r="K18" s="7"/>
      <c r="L18" s="25"/>
      <c r="M18" s="15"/>
      <c r="N18" s="30"/>
      <c r="O18" s="6"/>
      <c r="P18" s="18"/>
      <c r="Q18" s="21"/>
    </row>
    <row r="19" spans="1:17" x14ac:dyDescent="0.25">
      <c r="A19" s="3"/>
      <c r="B19" s="3"/>
      <c r="C19" s="6"/>
      <c r="D19" s="6"/>
      <c r="E19" s="6"/>
      <c r="F19" s="6"/>
      <c r="G19" s="6"/>
      <c r="H19" s="6"/>
      <c r="I19" s="6"/>
      <c r="J19" s="6"/>
      <c r="K19" s="7"/>
      <c r="L19" s="25"/>
      <c r="M19" s="15"/>
      <c r="N19" s="30"/>
      <c r="O19" s="6"/>
      <c r="P19" s="18"/>
      <c r="Q19" s="21"/>
    </row>
    <row r="20" spans="1:17" x14ac:dyDescent="0.25">
      <c r="A20" s="3"/>
      <c r="B20" s="3"/>
      <c r="C20" s="6"/>
      <c r="D20" s="6"/>
      <c r="E20" s="6"/>
      <c r="F20" s="6"/>
      <c r="G20" s="6"/>
      <c r="H20" s="6"/>
      <c r="I20" s="6"/>
      <c r="J20" s="6"/>
      <c r="K20" s="7"/>
      <c r="L20" s="25"/>
      <c r="M20" s="15"/>
      <c r="N20" s="38"/>
      <c r="O20" s="6"/>
    </row>
    <row r="21" spans="1:17" x14ac:dyDescent="0.25">
      <c r="A21" s="3"/>
      <c r="B21" s="3"/>
      <c r="C21" s="6"/>
      <c r="D21" s="6"/>
      <c r="E21" s="6"/>
      <c r="F21" s="6"/>
      <c r="G21" s="6"/>
      <c r="H21" s="6"/>
      <c r="I21" s="6"/>
      <c r="J21" s="6"/>
      <c r="K21" s="7"/>
      <c r="L21" s="25"/>
      <c r="M21" s="15"/>
      <c r="N21" s="13"/>
      <c r="O21" s="6"/>
    </row>
    <row r="22" spans="1:17" x14ac:dyDescent="0.25">
      <c r="A22" s="3"/>
      <c r="B22" s="3"/>
      <c r="C22" s="6"/>
      <c r="D22" s="6"/>
      <c r="E22" s="6"/>
      <c r="F22" s="6"/>
      <c r="G22" s="6"/>
      <c r="H22" s="6"/>
      <c r="I22" s="6"/>
      <c r="J22" s="6"/>
      <c r="K22" s="7"/>
      <c r="L22" s="25"/>
      <c r="M22" s="15"/>
      <c r="N22" s="13"/>
      <c r="O22" s="6"/>
    </row>
    <row r="23" spans="1:17" x14ac:dyDescent="0.25">
      <c r="A23" s="3"/>
      <c r="B23" s="3"/>
      <c r="C23" s="6"/>
      <c r="D23" s="6"/>
      <c r="E23" s="6"/>
      <c r="F23" s="6"/>
      <c r="G23" s="6"/>
      <c r="H23" s="6"/>
      <c r="I23" s="6"/>
      <c r="J23" s="6"/>
      <c r="K23" s="7"/>
      <c r="L23" s="25"/>
      <c r="M23" s="15"/>
      <c r="N23" s="13"/>
      <c r="O23" s="6"/>
    </row>
    <row r="24" spans="1:17" x14ac:dyDescent="0.25">
      <c r="A24" s="3"/>
      <c r="B24" s="3"/>
      <c r="C24" s="6"/>
      <c r="D24" s="6"/>
      <c r="E24" s="6"/>
      <c r="F24" s="6"/>
      <c r="G24" s="6"/>
      <c r="H24" s="6"/>
      <c r="I24" s="6"/>
      <c r="J24" s="6"/>
      <c r="K24" s="7"/>
      <c r="L24" s="25"/>
      <c r="M24" s="15"/>
      <c r="N24" s="13"/>
      <c r="O24" s="6"/>
    </row>
    <row r="25" spans="1:17" x14ac:dyDescent="0.25">
      <c r="A25" s="3"/>
      <c r="B25" s="3"/>
      <c r="C25" s="6"/>
      <c r="D25" s="6"/>
      <c r="E25" s="6"/>
      <c r="F25" s="6"/>
      <c r="G25" s="6"/>
      <c r="H25" s="6"/>
      <c r="I25" s="6"/>
      <c r="J25" s="6"/>
      <c r="K25" s="7"/>
      <c r="L25" s="25"/>
      <c r="M25" s="15"/>
      <c r="N25" s="13"/>
      <c r="O25" s="6"/>
    </row>
    <row r="26" spans="1:17" x14ac:dyDescent="0.25">
      <c r="A26" s="3"/>
      <c r="B26" s="3"/>
      <c r="C26" s="6"/>
      <c r="D26" s="6"/>
      <c r="E26" s="6"/>
      <c r="F26" s="6"/>
      <c r="G26" s="6"/>
      <c r="H26" s="6"/>
      <c r="I26" s="6"/>
      <c r="J26" s="6"/>
      <c r="K26" s="7"/>
      <c r="L26" s="7"/>
      <c r="M26" s="11"/>
      <c r="N26" s="13"/>
      <c r="O26" s="6"/>
    </row>
    <row r="27" spans="1:17" x14ac:dyDescent="0.25">
      <c r="A27" s="3"/>
      <c r="B27" s="3"/>
      <c r="C27" s="6"/>
      <c r="D27" s="6"/>
      <c r="E27" s="6"/>
      <c r="F27" s="6"/>
      <c r="G27" s="6"/>
      <c r="H27" s="6"/>
      <c r="I27" s="6"/>
      <c r="J27" s="6"/>
      <c r="K27" s="7"/>
      <c r="L27" s="7"/>
      <c r="M27" s="11"/>
      <c r="N27" s="13"/>
      <c r="O27" s="6"/>
    </row>
    <row r="28" spans="1:17" x14ac:dyDescent="0.25">
      <c r="A28" s="3"/>
      <c r="B28" s="3"/>
      <c r="C28" s="6"/>
      <c r="D28" s="6"/>
      <c r="E28" s="6"/>
      <c r="F28" s="6"/>
      <c r="G28" s="6"/>
      <c r="H28" s="6"/>
      <c r="I28" s="6"/>
      <c r="J28" s="6"/>
      <c r="K28" s="7"/>
      <c r="L28" s="7"/>
      <c r="M28" s="11"/>
      <c r="N28" s="13"/>
      <c r="O28" s="6"/>
    </row>
    <row r="29" spans="1:17" x14ac:dyDescent="0.25">
      <c r="A29" s="3"/>
      <c r="B29" s="3"/>
      <c r="C29" s="6"/>
      <c r="D29" s="6"/>
      <c r="E29" s="6"/>
      <c r="F29" s="6"/>
      <c r="G29" s="6"/>
      <c r="H29" s="6"/>
      <c r="I29" s="6"/>
      <c r="J29" s="6"/>
      <c r="K29" s="7"/>
      <c r="L29" s="7"/>
      <c r="M29" s="11"/>
      <c r="N29" s="13"/>
      <c r="O29" s="6"/>
    </row>
    <row r="30" spans="1:17" x14ac:dyDescent="0.25">
      <c r="A30" s="3"/>
      <c r="B30" s="3"/>
      <c r="C30" s="6"/>
      <c r="D30" s="6"/>
      <c r="E30" s="6"/>
      <c r="F30" s="6"/>
      <c r="G30" s="6"/>
      <c r="H30" s="6"/>
      <c r="I30" s="6"/>
      <c r="J30" s="6"/>
      <c r="K30" s="7"/>
      <c r="L30" s="7"/>
      <c r="M30" s="11"/>
      <c r="N30" s="13"/>
      <c r="O30" s="6"/>
    </row>
    <row r="31" spans="1:17" x14ac:dyDescent="0.25">
      <c r="A31" s="3"/>
      <c r="B31" s="3"/>
      <c r="C31" s="6"/>
      <c r="D31" s="6"/>
      <c r="E31" s="6"/>
      <c r="F31" s="6"/>
      <c r="G31" s="6"/>
      <c r="H31" s="6"/>
      <c r="I31" s="6"/>
      <c r="J31" s="6"/>
      <c r="K31" s="7"/>
      <c r="L31" s="7"/>
      <c r="M31" s="11"/>
      <c r="N31" s="13"/>
      <c r="O31" s="6"/>
    </row>
    <row r="32" spans="1:17" x14ac:dyDescent="0.25">
      <c r="A32" s="3"/>
      <c r="B32" s="3"/>
      <c r="C32" s="6"/>
      <c r="D32" s="6"/>
      <c r="E32" s="6"/>
      <c r="F32" s="6"/>
      <c r="G32" s="6"/>
      <c r="H32" s="6"/>
      <c r="I32" s="6"/>
      <c r="J32" s="6"/>
      <c r="K32" s="7"/>
      <c r="L32" s="7"/>
      <c r="M32" s="11"/>
      <c r="N32" s="13"/>
      <c r="O32" s="6"/>
    </row>
    <row r="33" spans="1:15" x14ac:dyDescent="0.25">
      <c r="A33" s="3"/>
      <c r="B33" s="3"/>
      <c r="C33" s="6"/>
      <c r="D33" s="6"/>
      <c r="E33" s="6"/>
      <c r="F33" s="6"/>
      <c r="G33" s="6"/>
      <c r="H33" s="6"/>
      <c r="I33" s="6"/>
      <c r="J33" s="6"/>
      <c r="K33" s="7"/>
      <c r="L33" s="7"/>
      <c r="M33" s="11"/>
      <c r="N33" s="13"/>
      <c r="O33" s="6"/>
    </row>
    <row r="34" spans="1:15" x14ac:dyDescent="0.25">
      <c r="A34" s="3"/>
      <c r="B34" s="3"/>
      <c r="C34" s="6"/>
      <c r="D34" s="6"/>
      <c r="E34" s="6"/>
      <c r="F34" s="6"/>
      <c r="G34" s="6"/>
      <c r="H34" s="6"/>
      <c r="I34" s="6"/>
      <c r="J34" s="6"/>
      <c r="K34" s="7"/>
      <c r="L34" s="7"/>
      <c r="M34" s="11"/>
      <c r="N34" s="13"/>
      <c r="O34" s="6"/>
    </row>
    <row r="35" spans="1:15" x14ac:dyDescent="0.25">
      <c r="A35" s="3"/>
      <c r="B35" s="3"/>
      <c r="C35" s="6"/>
      <c r="D35" s="6"/>
      <c r="E35" s="6"/>
      <c r="F35" s="6"/>
      <c r="G35" s="6"/>
      <c r="H35" s="6"/>
      <c r="I35" s="6"/>
      <c r="J35" s="6"/>
      <c r="K35" s="7"/>
      <c r="L35" s="7"/>
      <c r="M35" s="11"/>
      <c r="N35" s="13"/>
      <c r="O35" s="6"/>
    </row>
    <row r="36" spans="1:15" x14ac:dyDescent="0.25">
      <c r="A36" s="3"/>
      <c r="B36" s="3"/>
      <c r="C36" s="6"/>
      <c r="D36" s="6"/>
      <c r="E36" s="6"/>
      <c r="F36" s="6"/>
      <c r="G36" s="6"/>
      <c r="H36" s="6"/>
      <c r="I36" s="6"/>
      <c r="J36" s="6"/>
      <c r="K36" s="7"/>
      <c r="L36" s="7"/>
      <c r="M36" s="11"/>
      <c r="N36" s="13"/>
      <c r="O36" s="6"/>
    </row>
    <row r="37" spans="1:15" x14ac:dyDescent="0.25">
      <c r="K37" s="7"/>
      <c r="L37" s="25"/>
      <c r="M37" s="15"/>
      <c r="N37" s="13"/>
    </row>
    <row r="38" spans="1:15" x14ac:dyDescent="0.25">
      <c r="L38" s="26"/>
      <c r="M38" s="21"/>
      <c r="N38" s="14"/>
    </row>
    <row r="39" spans="1:15" x14ac:dyDescent="0.25">
      <c r="L39" s="24"/>
      <c r="M39" s="21"/>
      <c r="N39" s="14"/>
    </row>
    <row r="40" spans="1:15" x14ac:dyDescent="0.25">
      <c r="L40" s="24"/>
      <c r="M40" s="21"/>
      <c r="N40" s="14"/>
    </row>
    <row r="41" spans="1:15" x14ac:dyDescent="0.25">
      <c r="L41" s="24"/>
      <c r="M41" s="21"/>
      <c r="N41" s="14"/>
    </row>
    <row r="42" spans="1:15" x14ac:dyDescent="0.25">
      <c r="M42" s="21"/>
      <c r="N42" s="14"/>
    </row>
    <row r="43" spans="1:15" x14ac:dyDescent="0.25">
      <c r="M43" s="21"/>
      <c r="N43" s="14"/>
    </row>
    <row r="44" spans="1:15" x14ac:dyDescent="0.25">
      <c r="M44" s="18"/>
    </row>
    <row r="45" spans="1:15" x14ac:dyDescent="0.25">
      <c r="M45" s="18"/>
    </row>
    <row r="46" spans="1:15" x14ac:dyDescent="0.25">
      <c r="M46" s="18"/>
    </row>
    <row r="47" spans="1:15" x14ac:dyDescent="0.25">
      <c r="M47" s="18"/>
    </row>
    <row r="48" spans="1:15" x14ac:dyDescent="0.25">
      <c r="M48" s="18"/>
    </row>
    <row r="49" spans="13:13" x14ac:dyDescent="0.25">
      <c r="M49" s="18"/>
    </row>
    <row r="50" spans="13:13" x14ac:dyDescent="0.25">
      <c r="M50" s="18"/>
    </row>
    <row r="51" spans="13:13" x14ac:dyDescent="0.25">
      <c r="M51" s="18"/>
    </row>
    <row r="52" spans="13:13" x14ac:dyDescent="0.25">
      <c r="M52" s="18"/>
    </row>
    <row r="53" spans="13:13" x14ac:dyDescent="0.25">
      <c r="M53" s="18"/>
    </row>
    <row r="54" spans="13:13" x14ac:dyDescent="0.25">
      <c r="M54" s="18"/>
    </row>
    <row r="55" spans="13:13" x14ac:dyDescent="0.25">
      <c r="M55" s="18"/>
    </row>
    <row r="56" spans="13:13" x14ac:dyDescent="0.25">
      <c r="M56" s="18"/>
    </row>
    <row r="57" spans="13:13" x14ac:dyDescent="0.25">
      <c r="M57" s="18"/>
    </row>
    <row r="58" spans="13:13" x14ac:dyDescent="0.25">
      <c r="M58" s="18"/>
    </row>
    <row r="59" spans="13:13" x14ac:dyDescent="0.25">
      <c r="M59" s="18"/>
    </row>
    <row r="60" spans="13:13" x14ac:dyDescent="0.25">
      <c r="M60" s="18"/>
    </row>
    <row r="61" spans="13:13" x14ac:dyDescent="0.25">
      <c r="M61" s="18"/>
    </row>
    <row r="62" spans="13:13" x14ac:dyDescent="0.25">
      <c r="M62" s="18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paperSize="9" orientation="portrait" horizontalDpi="4294967293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2"/>
  <sheetViews>
    <sheetView workbookViewId="0">
      <selection activeCell="E23" sqref="E23"/>
    </sheetView>
  </sheetViews>
  <sheetFormatPr defaultRowHeight="15" x14ac:dyDescent="0.25"/>
  <cols>
    <col min="2" max="2" width="23.7109375" customWidth="1"/>
    <col min="3" max="3" width="37" customWidth="1"/>
    <col min="4" max="4" width="13.5703125" style="35" customWidth="1"/>
    <col min="5" max="5" width="44.5703125" bestFit="1" customWidth="1"/>
  </cols>
  <sheetData>
    <row r="1" spans="1:5" x14ac:dyDescent="0.25">
      <c r="A1" s="53" t="s">
        <v>0</v>
      </c>
      <c r="B1" s="53"/>
      <c r="C1" s="53"/>
      <c r="D1" s="53"/>
      <c r="E1" s="53"/>
    </row>
    <row r="2" spans="1:5" x14ac:dyDescent="0.25">
      <c r="A2" s="2" t="s">
        <v>1</v>
      </c>
      <c r="B2" s="2" t="s">
        <v>2</v>
      </c>
      <c r="C2" s="2" t="s">
        <v>3</v>
      </c>
      <c r="D2" s="34" t="s">
        <v>4</v>
      </c>
      <c r="E2" s="2" t="s">
        <v>5</v>
      </c>
    </row>
    <row r="3" spans="1:5" x14ac:dyDescent="0.25">
      <c r="A3" s="1">
        <v>202001</v>
      </c>
      <c r="B3" t="s">
        <v>45</v>
      </c>
      <c r="C3" s="32" t="s">
        <v>46</v>
      </c>
      <c r="D3" s="35">
        <v>165</v>
      </c>
      <c r="E3" t="s">
        <v>52</v>
      </c>
    </row>
    <row r="4" spans="1:5" x14ac:dyDescent="0.25">
      <c r="A4" s="1">
        <v>202002</v>
      </c>
      <c r="B4" t="s">
        <v>47</v>
      </c>
      <c r="C4" t="s">
        <v>48</v>
      </c>
      <c r="D4" s="35">
        <v>765</v>
      </c>
      <c r="E4" t="s">
        <v>54</v>
      </c>
    </row>
    <row r="5" spans="1:5" x14ac:dyDescent="0.25">
      <c r="A5" s="1">
        <v>202003</v>
      </c>
      <c r="B5" t="s">
        <v>55</v>
      </c>
      <c r="C5" t="s">
        <v>48</v>
      </c>
      <c r="D5" s="35">
        <v>5.99</v>
      </c>
      <c r="E5" t="s">
        <v>76</v>
      </c>
    </row>
    <row r="6" spans="1:5" x14ac:dyDescent="0.25">
      <c r="A6" s="1">
        <v>202004</v>
      </c>
      <c r="B6" t="s">
        <v>56</v>
      </c>
      <c r="C6" t="s">
        <v>48</v>
      </c>
      <c r="D6" s="35">
        <v>1.95</v>
      </c>
      <c r="E6" t="s">
        <v>77</v>
      </c>
    </row>
    <row r="7" spans="1:5" x14ac:dyDescent="0.25">
      <c r="A7" s="1">
        <v>202005</v>
      </c>
      <c r="B7" t="s">
        <v>57</v>
      </c>
      <c r="C7" t="s">
        <v>46</v>
      </c>
      <c r="D7" s="35">
        <v>3.49</v>
      </c>
      <c r="E7" t="s">
        <v>78</v>
      </c>
    </row>
    <row r="8" spans="1:5" x14ac:dyDescent="0.25">
      <c r="A8" s="1">
        <v>202006</v>
      </c>
      <c r="B8" t="s">
        <v>58</v>
      </c>
      <c r="C8" t="s">
        <v>59</v>
      </c>
      <c r="D8" s="35">
        <v>1.99</v>
      </c>
      <c r="E8" t="s">
        <v>79</v>
      </c>
    </row>
    <row r="9" spans="1:5" x14ac:dyDescent="0.25">
      <c r="A9" s="1">
        <v>202007</v>
      </c>
      <c r="B9" t="s">
        <v>60</v>
      </c>
      <c r="C9" t="s">
        <v>61</v>
      </c>
      <c r="D9" s="35">
        <v>3.99</v>
      </c>
      <c r="E9" t="s">
        <v>80</v>
      </c>
    </row>
    <row r="10" spans="1:5" x14ac:dyDescent="0.25">
      <c r="A10" s="1">
        <v>202008</v>
      </c>
      <c r="B10" t="s">
        <v>62</v>
      </c>
      <c r="C10" t="s">
        <v>61</v>
      </c>
      <c r="D10" s="35">
        <v>4.95</v>
      </c>
      <c r="E10" t="s">
        <v>81</v>
      </c>
    </row>
    <row r="11" spans="1:5" x14ac:dyDescent="0.25">
      <c r="A11" s="1">
        <v>202009</v>
      </c>
      <c r="B11" t="s">
        <v>63</v>
      </c>
      <c r="C11" t="s">
        <v>64</v>
      </c>
      <c r="D11" s="35">
        <v>4.95</v>
      </c>
      <c r="E11" t="s">
        <v>82</v>
      </c>
    </row>
    <row r="12" spans="1:5" x14ac:dyDescent="0.25">
      <c r="A12" s="1">
        <v>202010</v>
      </c>
      <c r="B12" t="s">
        <v>65</v>
      </c>
      <c r="C12" t="s">
        <v>66</v>
      </c>
      <c r="D12" s="35">
        <v>4.45</v>
      </c>
      <c r="E12" t="s">
        <v>83</v>
      </c>
    </row>
    <row r="13" spans="1:5" x14ac:dyDescent="0.25">
      <c r="A13" s="1">
        <v>202011</v>
      </c>
      <c r="B13" t="s">
        <v>68</v>
      </c>
      <c r="C13" t="s">
        <v>67</v>
      </c>
      <c r="D13" s="35">
        <v>2700</v>
      </c>
      <c r="E13" t="s">
        <v>84</v>
      </c>
    </row>
    <row r="14" spans="1:5" x14ac:dyDescent="0.25">
      <c r="A14" s="1">
        <v>202012</v>
      </c>
      <c r="B14" t="s">
        <v>69</v>
      </c>
      <c r="C14" t="s">
        <v>70</v>
      </c>
      <c r="E14" t="s">
        <v>85</v>
      </c>
    </row>
    <row r="15" spans="1:5" x14ac:dyDescent="0.25">
      <c r="A15" s="1">
        <v>202013</v>
      </c>
      <c r="B15" t="s">
        <v>71</v>
      </c>
      <c r="C15" t="s">
        <v>72</v>
      </c>
      <c r="E15" t="s">
        <v>86</v>
      </c>
    </row>
    <row r="16" spans="1:5" x14ac:dyDescent="0.25">
      <c r="A16" s="1">
        <v>202014</v>
      </c>
      <c r="B16" t="s">
        <v>75</v>
      </c>
      <c r="C16" t="s">
        <v>73</v>
      </c>
      <c r="E16" t="s">
        <v>88</v>
      </c>
    </row>
    <row r="17" spans="1:5" x14ac:dyDescent="0.25">
      <c r="A17" s="1">
        <v>202015</v>
      </c>
      <c r="B17" t="s">
        <v>74</v>
      </c>
      <c r="C17" t="s">
        <v>73</v>
      </c>
      <c r="E17" t="s">
        <v>87</v>
      </c>
    </row>
    <row r="18" spans="1:5" x14ac:dyDescent="0.25">
      <c r="A18" s="1">
        <v>202016</v>
      </c>
      <c r="B18" t="s">
        <v>90</v>
      </c>
      <c r="C18" t="s">
        <v>89</v>
      </c>
      <c r="D18" s="35">
        <v>65.25</v>
      </c>
    </row>
    <row r="19" spans="1:5" x14ac:dyDescent="0.25">
      <c r="A19" s="1">
        <v>202017</v>
      </c>
      <c r="B19" t="s">
        <v>91</v>
      </c>
      <c r="D19" s="35">
        <v>15</v>
      </c>
    </row>
    <row r="20" spans="1:5" x14ac:dyDescent="0.25">
      <c r="A20" s="1">
        <v>202018</v>
      </c>
      <c r="B20" t="s">
        <v>93</v>
      </c>
      <c r="C20" t="s">
        <v>94</v>
      </c>
      <c r="D20" s="35">
        <v>5300</v>
      </c>
      <c r="E20" t="s">
        <v>99</v>
      </c>
    </row>
    <row r="21" spans="1:5" x14ac:dyDescent="0.25">
      <c r="A21" s="1">
        <v>202019</v>
      </c>
      <c r="B21" t="s">
        <v>95</v>
      </c>
      <c r="C21" t="s">
        <v>96</v>
      </c>
      <c r="D21" s="35">
        <v>1304.8</v>
      </c>
      <c r="E21" t="s">
        <v>100</v>
      </c>
    </row>
    <row r="22" spans="1:5" x14ac:dyDescent="0.25">
      <c r="A22" s="1">
        <v>202020</v>
      </c>
      <c r="B22" t="s">
        <v>93</v>
      </c>
      <c r="C22" t="s">
        <v>94</v>
      </c>
      <c r="D22" s="35">
        <v>6800</v>
      </c>
      <c r="E22" t="s">
        <v>99</v>
      </c>
    </row>
    <row r="23" spans="1:5" x14ac:dyDescent="0.25">
      <c r="A23" s="1">
        <v>202021</v>
      </c>
      <c r="B23" t="s">
        <v>101</v>
      </c>
      <c r="C23" t="s">
        <v>102</v>
      </c>
      <c r="D23" s="35">
        <v>17.8</v>
      </c>
    </row>
    <row r="24" spans="1:5" x14ac:dyDescent="0.25">
      <c r="A24" s="1">
        <v>202022</v>
      </c>
    </row>
    <row r="25" spans="1:5" x14ac:dyDescent="0.25">
      <c r="A25" s="1">
        <v>202023</v>
      </c>
    </row>
    <row r="26" spans="1:5" x14ac:dyDescent="0.25">
      <c r="A26" s="1">
        <v>202024</v>
      </c>
    </row>
    <row r="27" spans="1:5" x14ac:dyDescent="0.25">
      <c r="A27" s="1">
        <v>202025</v>
      </c>
    </row>
    <row r="28" spans="1:5" x14ac:dyDescent="0.25">
      <c r="A28" s="1">
        <v>202026</v>
      </c>
    </row>
    <row r="29" spans="1:5" x14ac:dyDescent="0.25">
      <c r="A29" s="1">
        <v>202027</v>
      </c>
    </row>
    <row r="30" spans="1:5" x14ac:dyDescent="0.25">
      <c r="A30" s="1">
        <v>202028</v>
      </c>
    </row>
    <row r="31" spans="1:5" x14ac:dyDescent="0.25">
      <c r="A31" s="1">
        <v>202029</v>
      </c>
    </row>
    <row r="32" spans="1:5" x14ac:dyDescent="0.25">
      <c r="A32" s="1">
        <v>202030</v>
      </c>
    </row>
    <row r="33" spans="1:1" x14ac:dyDescent="0.25">
      <c r="A33" s="1">
        <v>202031</v>
      </c>
    </row>
    <row r="34" spans="1:1" x14ac:dyDescent="0.25">
      <c r="A34" s="1">
        <v>202032</v>
      </c>
    </row>
    <row r="35" spans="1:1" x14ac:dyDescent="0.25">
      <c r="A35" s="1">
        <v>202033</v>
      </c>
    </row>
    <row r="36" spans="1:1" x14ac:dyDescent="0.25">
      <c r="A36" s="1">
        <v>202034</v>
      </c>
    </row>
    <row r="37" spans="1:1" x14ac:dyDescent="0.25">
      <c r="A37" s="1">
        <v>202035</v>
      </c>
    </row>
    <row r="38" spans="1:1" x14ac:dyDescent="0.25">
      <c r="A38" s="1">
        <v>202036</v>
      </c>
    </row>
    <row r="39" spans="1:1" x14ac:dyDescent="0.25">
      <c r="A39" s="1">
        <v>202037</v>
      </c>
    </row>
    <row r="40" spans="1:1" x14ac:dyDescent="0.25">
      <c r="A40" s="1">
        <v>202038</v>
      </c>
    </row>
    <row r="41" spans="1:1" x14ac:dyDescent="0.25">
      <c r="A41" s="1">
        <v>202039</v>
      </c>
    </row>
    <row r="42" spans="1:1" x14ac:dyDescent="0.25">
      <c r="A42" s="1">
        <v>202040</v>
      </c>
    </row>
    <row r="43" spans="1:1" x14ac:dyDescent="0.25">
      <c r="A43" s="1">
        <v>202041</v>
      </c>
    </row>
    <row r="44" spans="1:1" x14ac:dyDescent="0.25">
      <c r="A44" s="1">
        <v>202042</v>
      </c>
    </row>
    <row r="45" spans="1:1" x14ac:dyDescent="0.25">
      <c r="A45" s="1">
        <v>202043</v>
      </c>
    </row>
    <row r="46" spans="1:1" x14ac:dyDescent="0.25">
      <c r="A46" s="1">
        <v>202044</v>
      </c>
    </row>
    <row r="47" spans="1:1" x14ac:dyDescent="0.25">
      <c r="A47" s="1">
        <v>202045</v>
      </c>
    </row>
    <row r="48" spans="1:1" x14ac:dyDescent="0.25">
      <c r="A48" s="1">
        <v>202046</v>
      </c>
    </row>
    <row r="49" spans="1:1" x14ac:dyDescent="0.25">
      <c r="A49" s="1">
        <v>202047</v>
      </c>
    </row>
    <row r="50" spans="1:1" x14ac:dyDescent="0.25">
      <c r="A50" s="1">
        <v>202048</v>
      </c>
    </row>
    <row r="51" spans="1:1" x14ac:dyDescent="0.25">
      <c r="A51" s="1">
        <v>202049</v>
      </c>
    </row>
    <row r="52" spans="1:1" x14ac:dyDescent="0.25">
      <c r="A52" s="1">
        <v>202050</v>
      </c>
    </row>
  </sheetData>
  <mergeCells count="1">
    <mergeCell ref="A1:E1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6"/>
  <sheetViews>
    <sheetView topLeftCell="A94" workbookViewId="0">
      <selection activeCell="J95" sqref="J95"/>
    </sheetView>
  </sheetViews>
  <sheetFormatPr defaultRowHeight="15" x14ac:dyDescent="0.25"/>
  <cols>
    <col min="2" max="2" width="18.42578125" customWidth="1"/>
    <col min="3" max="3" width="19.42578125" customWidth="1"/>
    <col min="4" max="4" width="16.5703125" style="37" customWidth="1"/>
    <col min="5" max="5" width="11" customWidth="1"/>
    <col min="6" max="6" width="13.7109375" style="35" customWidth="1"/>
    <col min="7" max="7" width="16.5703125" style="35" customWidth="1"/>
  </cols>
  <sheetData>
    <row r="1" spans="1:7" x14ac:dyDescent="0.25">
      <c r="A1" s="54" t="s">
        <v>39</v>
      </c>
      <c r="B1" s="54"/>
      <c r="C1" s="54"/>
      <c r="D1" s="54"/>
      <c r="E1" s="54"/>
      <c r="F1" s="54"/>
      <c r="G1" s="54"/>
    </row>
    <row r="2" spans="1:7" x14ac:dyDescent="0.25">
      <c r="A2" s="22" t="s">
        <v>40</v>
      </c>
      <c r="B2" s="22" t="s">
        <v>41</v>
      </c>
      <c r="C2" s="22" t="s">
        <v>29</v>
      </c>
      <c r="D2" s="33" t="s">
        <v>32</v>
      </c>
      <c r="E2" s="22" t="s">
        <v>33</v>
      </c>
      <c r="F2" s="36" t="s">
        <v>4</v>
      </c>
      <c r="G2" s="36" t="s">
        <v>18</v>
      </c>
    </row>
    <row r="3" spans="1:7" x14ac:dyDescent="0.25">
      <c r="A3" s="1">
        <v>202001</v>
      </c>
      <c r="B3" s="23">
        <v>43883.340694444443</v>
      </c>
      <c r="C3" s="1" t="s">
        <v>30</v>
      </c>
      <c r="D3" s="1" t="s">
        <v>6</v>
      </c>
      <c r="E3">
        <v>1</v>
      </c>
      <c r="F3" s="35">
        <v>2.99</v>
      </c>
      <c r="G3" s="35">
        <v>2.99</v>
      </c>
    </row>
    <row r="4" spans="1:7" x14ac:dyDescent="0.25">
      <c r="A4" s="1">
        <v>202002</v>
      </c>
      <c r="B4" s="23">
        <v>43883.340694444443</v>
      </c>
      <c r="C4" s="1" t="s">
        <v>30</v>
      </c>
      <c r="D4" s="1" t="s">
        <v>7</v>
      </c>
      <c r="E4">
        <v>3</v>
      </c>
      <c r="F4" s="35">
        <v>1.2</v>
      </c>
      <c r="G4" s="35">
        <v>3.6</v>
      </c>
    </row>
    <row r="5" spans="1:7" x14ac:dyDescent="0.25">
      <c r="A5" s="1">
        <v>202003</v>
      </c>
      <c r="B5" s="23">
        <v>43883.340694444443</v>
      </c>
      <c r="C5" s="1" t="s">
        <v>30</v>
      </c>
      <c r="D5" s="1" t="s">
        <v>6</v>
      </c>
      <c r="E5">
        <v>1</v>
      </c>
      <c r="F5" s="35">
        <v>2.99</v>
      </c>
      <c r="G5" s="35">
        <v>2.99</v>
      </c>
    </row>
    <row r="6" spans="1:7" x14ac:dyDescent="0.25">
      <c r="A6" s="1">
        <v>202004</v>
      </c>
      <c r="B6" s="23">
        <v>43883.340694444443</v>
      </c>
      <c r="C6" s="1" t="s">
        <v>30</v>
      </c>
      <c r="D6" s="1" t="s">
        <v>7</v>
      </c>
      <c r="E6">
        <v>2</v>
      </c>
      <c r="F6" s="35">
        <v>0.99</v>
      </c>
      <c r="G6" s="35">
        <v>1.98</v>
      </c>
    </row>
    <row r="7" spans="1:7" x14ac:dyDescent="0.25">
      <c r="A7" s="1">
        <v>202005</v>
      </c>
      <c r="B7" s="23">
        <v>43883.340694444443</v>
      </c>
      <c r="C7" s="1" t="s">
        <v>30</v>
      </c>
      <c r="D7" s="1" t="s">
        <v>6</v>
      </c>
      <c r="E7">
        <v>1</v>
      </c>
      <c r="F7" s="35">
        <v>2.99</v>
      </c>
      <c r="G7" s="35">
        <v>2.99</v>
      </c>
    </row>
    <row r="8" spans="1:7" x14ac:dyDescent="0.25">
      <c r="A8" s="1">
        <v>202006</v>
      </c>
      <c r="B8" s="23">
        <v>43883.340694444443</v>
      </c>
      <c r="C8" s="1" t="s">
        <v>30</v>
      </c>
      <c r="D8" s="1" t="s">
        <v>7</v>
      </c>
      <c r="E8">
        <v>1</v>
      </c>
      <c r="F8" s="35">
        <v>0.99</v>
      </c>
      <c r="G8" s="35">
        <v>0.99</v>
      </c>
    </row>
    <row r="9" spans="1:7" x14ac:dyDescent="0.25">
      <c r="A9" s="1">
        <v>202007</v>
      </c>
      <c r="B9" s="23">
        <v>43883.340694444443</v>
      </c>
      <c r="C9" s="1" t="s">
        <v>30</v>
      </c>
      <c r="D9" s="1" t="s">
        <v>9</v>
      </c>
      <c r="E9">
        <v>5.5</v>
      </c>
      <c r="F9" s="35">
        <v>1.95</v>
      </c>
      <c r="G9" s="35">
        <v>10.73</v>
      </c>
    </row>
    <row r="10" spans="1:7" x14ac:dyDescent="0.25">
      <c r="A10" s="1">
        <v>202008</v>
      </c>
      <c r="B10" s="23">
        <v>43883.341666666667</v>
      </c>
      <c r="C10" s="1" t="s">
        <v>30</v>
      </c>
      <c r="D10" s="1" t="s">
        <v>6</v>
      </c>
      <c r="E10">
        <v>1</v>
      </c>
      <c r="F10" s="35">
        <v>2.99</v>
      </c>
      <c r="G10" s="35">
        <v>2.99</v>
      </c>
    </row>
    <row r="11" spans="1:7" x14ac:dyDescent="0.25">
      <c r="A11" s="1">
        <v>202009</v>
      </c>
      <c r="B11" s="23">
        <v>43883.341666666667</v>
      </c>
      <c r="C11" s="1" t="s">
        <v>30</v>
      </c>
      <c r="D11" s="1" t="s">
        <v>12</v>
      </c>
      <c r="E11">
        <v>3</v>
      </c>
      <c r="F11" s="35">
        <v>2.5</v>
      </c>
      <c r="G11" s="35">
        <v>7.5</v>
      </c>
    </row>
    <row r="12" spans="1:7" x14ac:dyDescent="0.25">
      <c r="A12" s="1">
        <v>202010</v>
      </c>
      <c r="B12" s="23">
        <v>43883.341666666667</v>
      </c>
      <c r="C12" s="1" t="s">
        <v>30</v>
      </c>
      <c r="D12" s="1" t="s">
        <v>7</v>
      </c>
      <c r="E12">
        <v>1</v>
      </c>
      <c r="F12" s="35">
        <v>0.99</v>
      </c>
      <c r="G12" s="35">
        <v>0.99</v>
      </c>
    </row>
    <row r="13" spans="1:7" x14ac:dyDescent="0.25">
      <c r="A13" s="1">
        <v>202011</v>
      </c>
      <c r="B13" s="23">
        <v>43883.341666666667</v>
      </c>
      <c r="C13" s="1" t="s">
        <v>30</v>
      </c>
      <c r="D13" s="1" t="s">
        <v>7</v>
      </c>
      <c r="E13">
        <v>1</v>
      </c>
      <c r="F13" s="35">
        <v>0.99</v>
      </c>
      <c r="G13" s="35">
        <v>0.99</v>
      </c>
    </row>
    <row r="14" spans="1:7" x14ac:dyDescent="0.25">
      <c r="A14" s="1">
        <v>202012</v>
      </c>
      <c r="B14" s="23">
        <v>43883.441319444442</v>
      </c>
      <c r="C14" s="1" t="s">
        <v>30</v>
      </c>
      <c r="D14" s="1" t="s">
        <v>6</v>
      </c>
      <c r="E14">
        <v>1</v>
      </c>
      <c r="F14" s="35">
        <v>2.99</v>
      </c>
      <c r="G14" s="35">
        <v>2.99</v>
      </c>
    </row>
    <row r="15" spans="1:7" x14ac:dyDescent="0.25">
      <c r="A15" s="1">
        <v>202013</v>
      </c>
      <c r="B15" s="23">
        <v>43883.441319444442</v>
      </c>
      <c r="C15" s="1" t="s">
        <v>30</v>
      </c>
      <c r="D15" s="1" t="s">
        <v>7</v>
      </c>
      <c r="E15">
        <v>1</v>
      </c>
      <c r="F15" s="35">
        <v>0.99</v>
      </c>
      <c r="G15" s="35">
        <v>0.99</v>
      </c>
    </row>
    <row r="16" spans="1:7" x14ac:dyDescent="0.25">
      <c r="A16" s="1">
        <v>202014</v>
      </c>
      <c r="B16" s="23">
        <v>43883.441319444442</v>
      </c>
      <c r="C16" s="1" t="s">
        <v>30</v>
      </c>
      <c r="D16" s="1" t="s">
        <v>10</v>
      </c>
      <c r="E16">
        <v>2</v>
      </c>
      <c r="F16" s="35">
        <v>3.49</v>
      </c>
      <c r="G16" s="35">
        <v>6.98</v>
      </c>
    </row>
    <row r="17" spans="1:7" x14ac:dyDescent="0.25">
      <c r="A17" s="1">
        <v>202015</v>
      </c>
      <c r="B17" s="23">
        <v>43883.441319444442</v>
      </c>
      <c r="C17" s="1" t="s">
        <v>30</v>
      </c>
      <c r="D17" s="1" t="s">
        <v>11</v>
      </c>
      <c r="E17">
        <v>1</v>
      </c>
      <c r="F17" s="35">
        <v>1.99</v>
      </c>
      <c r="G17" s="35">
        <v>1.99</v>
      </c>
    </row>
    <row r="18" spans="1:7" x14ac:dyDescent="0.25">
      <c r="A18" s="1">
        <v>202016</v>
      </c>
      <c r="B18" s="23">
        <v>43883.441319444442</v>
      </c>
      <c r="C18" s="1" t="s">
        <v>30</v>
      </c>
      <c r="D18" s="1" t="s">
        <v>12</v>
      </c>
      <c r="E18">
        <v>1</v>
      </c>
      <c r="F18" s="35">
        <v>3.99</v>
      </c>
      <c r="G18" s="35">
        <v>3.99</v>
      </c>
    </row>
    <row r="19" spans="1:7" x14ac:dyDescent="0.25">
      <c r="A19" s="1">
        <v>202017</v>
      </c>
      <c r="B19" s="23">
        <v>43883.441319444442</v>
      </c>
      <c r="C19" s="1" t="s">
        <v>30</v>
      </c>
      <c r="D19" s="1" t="s">
        <v>6</v>
      </c>
      <c r="E19">
        <v>1</v>
      </c>
      <c r="F19" s="35">
        <v>2.99</v>
      </c>
      <c r="G19" s="35">
        <v>2.99</v>
      </c>
    </row>
    <row r="20" spans="1:7" x14ac:dyDescent="0.25">
      <c r="A20" s="1">
        <v>202018</v>
      </c>
      <c r="B20" s="23">
        <v>43883.454988425925</v>
      </c>
      <c r="C20" s="1" t="s">
        <v>30</v>
      </c>
      <c r="D20" s="1" t="s">
        <v>7</v>
      </c>
      <c r="E20">
        <v>1</v>
      </c>
      <c r="F20" s="35">
        <v>0.99</v>
      </c>
      <c r="G20" s="35">
        <v>0.99</v>
      </c>
    </row>
    <row r="21" spans="1:7" x14ac:dyDescent="0.25">
      <c r="A21" s="1">
        <v>202019</v>
      </c>
      <c r="B21" s="23">
        <v>43883.454988425925</v>
      </c>
      <c r="C21" s="1" t="s">
        <v>30</v>
      </c>
      <c r="D21" s="1" t="s">
        <v>6</v>
      </c>
      <c r="E21">
        <v>1</v>
      </c>
      <c r="F21" s="35">
        <v>2.99</v>
      </c>
      <c r="G21" s="35">
        <v>2.99</v>
      </c>
    </row>
    <row r="22" spans="1:7" x14ac:dyDescent="0.25">
      <c r="A22" s="1">
        <v>202020</v>
      </c>
      <c r="B22" s="23">
        <v>43986.031712962962</v>
      </c>
      <c r="C22" s="1" t="s">
        <v>43</v>
      </c>
      <c r="D22" s="1" t="s">
        <v>10</v>
      </c>
      <c r="E22">
        <v>500</v>
      </c>
      <c r="F22" s="35">
        <v>175</v>
      </c>
      <c r="G22" s="35">
        <v>87500</v>
      </c>
    </row>
    <row r="23" spans="1:7" x14ac:dyDescent="0.25">
      <c r="A23" s="1">
        <v>202021</v>
      </c>
      <c r="B23" s="23">
        <v>43986.031712962962</v>
      </c>
      <c r="C23" s="1" t="s">
        <v>43</v>
      </c>
      <c r="D23" s="1" t="s">
        <v>9</v>
      </c>
      <c r="E23">
        <v>1</v>
      </c>
      <c r="F23" s="35">
        <v>1.95</v>
      </c>
      <c r="G23" s="35">
        <v>1.95</v>
      </c>
    </row>
    <row r="24" spans="1:7" x14ac:dyDescent="0.25">
      <c r="A24" s="1">
        <v>202022</v>
      </c>
      <c r="B24" s="23">
        <v>43986.031712962962</v>
      </c>
      <c r="C24" s="1" t="s">
        <v>43</v>
      </c>
      <c r="D24" s="1" t="s">
        <v>8</v>
      </c>
      <c r="E24">
        <v>1</v>
      </c>
      <c r="F24" s="35">
        <v>5.99</v>
      </c>
      <c r="G24" s="35">
        <v>5.99</v>
      </c>
    </row>
    <row r="25" spans="1:7" x14ac:dyDescent="0.25">
      <c r="A25" s="1">
        <v>202023</v>
      </c>
      <c r="B25" s="23">
        <v>43986.031712962962</v>
      </c>
      <c r="C25" s="1" t="s">
        <v>43</v>
      </c>
      <c r="D25" s="1" t="s">
        <v>7</v>
      </c>
      <c r="E25">
        <v>1</v>
      </c>
      <c r="F25" s="35">
        <v>0.99</v>
      </c>
      <c r="G25" s="35">
        <v>0.99</v>
      </c>
    </row>
    <row r="26" spans="1:7" x14ac:dyDescent="0.25">
      <c r="A26" s="1">
        <v>202024</v>
      </c>
      <c r="B26" s="23">
        <v>43986.031712962962</v>
      </c>
      <c r="C26" s="1" t="s">
        <v>43</v>
      </c>
      <c r="D26" s="1" t="s">
        <v>6</v>
      </c>
      <c r="E26">
        <v>1</v>
      </c>
      <c r="F26" s="35">
        <v>2.99</v>
      </c>
      <c r="G26" s="35">
        <v>2.99</v>
      </c>
    </row>
    <row r="27" spans="1:7" x14ac:dyDescent="0.25">
      <c r="A27" s="1">
        <v>202025</v>
      </c>
      <c r="B27" s="23">
        <v>43986.031712962962</v>
      </c>
      <c r="C27" s="1" t="s">
        <v>43</v>
      </c>
      <c r="D27" s="1" t="s">
        <v>13</v>
      </c>
      <c r="E27">
        <v>1</v>
      </c>
      <c r="F27" s="35">
        <v>4.95</v>
      </c>
      <c r="G27" s="35">
        <v>4.95</v>
      </c>
    </row>
    <row r="28" spans="1:7" x14ac:dyDescent="0.25">
      <c r="A28" s="1">
        <v>202026</v>
      </c>
      <c r="B28" s="23">
        <v>43986.031712962962</v>
      </c>
      <c r="C28" s="1" t="s">
        <v>43</v>
      </c>
      <c r="D28" s="1" t="s">
        <v>10</v>
      </c>
      <c r="E28">
        <v>1</v>
      </c>
      <c r="F28" s="35">
        <v>3.49</v>
      </c>
      <c r="G28" s="35">
        <v>3.49</v>
      </c>
    </row>
    <row r="29" spans="1:7" x14ac:dyDescent="0.25">
      <c r="A29" s="1">
        <v>202027</v>
      </c>
      <c r="B29" s="23">
        <v>43986.031712962962</v>
      </c>
      <c r="C29" s="1" t="s">
        <v>43</v>
      </c>
      <c r="D29" s="1" t="s">
        <v>10</v>
      </c>
      <c r="E29">
        <v>1</v>
      </c>
      <c r="F29" s="35">
        <v>3.49</v>
      </c>
      <c r="G29" s="35">
        <v>3.49</v>
      </c>
    </row>
    <row r="30" spans="1:7" x14ac:dyDescent="0.25">
      <c r="A30" s="1">
        <v>202028</v>
      </c>
      <c r="B30" s="23">
        <v>43986.031712962962</v>
      </c>
      <c r="C30" s="1" t="s">
        <v>43</v>
      </c>
      <c r="D30" s="1" t="s">
        <v>11</v>
      </c>
      <c r="E30">
        <v>1</v>
      </c>
      <c r="F30" s="35">
        <v>1.99</v>
      </c>
      <c r="G30" s="35">
        <v>1.99</v>
      </c>
    </row>
    <row r="31" spans="1:7" x14ac:dyDescent="0.25">
      <c r="A31" s="1">
        <v>202029</v>
      </c>
      <c r="B31" s="23">
        <v>43986.031712962962</v>
      </c>
      <c r="C31" s="1" t="s">
        <v>43</v>
      </c>
      <c r="D31" s="1" t="s">
        <v>6</v>
      </c>
      <c r="E31">
        <v>1</v>
      </c>
      <c r="F31" s="35">
        <v>2.99</v>
      </c>
      <c r="G31" s="35">
        <v>2.99</v>
      </c>
    </row>
    <row r="32" spans="1:7" x14ac:dyDescent="0.25">
      <c r="A32" s="1">
        <v>202030</v>
      </c>
      <c r="B32" s="23">
        <v>43986.031712962962</v>
      </c>
      <c r="C32" s="1" t="s">
        <v>43</v>
      </c>
      <c r="D32" s="1" t="s">
        <v>7</v>
      </c>
      <c r="E32">
        <v>1</v>
      </c>
      <c r="F32" s="35">
        <v>0.99</v>
      </c>
      <c r="G32" s="35">
        <v>0.99</v>
      </c>
    </row>
    <row r="33" spans="1:7" x14ac:dyDescent="0.25">
      <c r="A33" s="1">
        <v>202031</v>
      </c>
      <c r="B33" s="23">
        <v>43986.031712962962</v>
      </c>
      <c r="C33" s="1" t="s">
        <v>43</v>
      </c>
      <c r="D33" s="1" t="s">
        <v>11</v>
      </c>
      <c r="E33">
        <v>1</v>
      </c>
      <c r="F33" s="35">
        <v>1.99</v>
      </c>
      <c r="G33" s="35">
        <v>1.99</v>
      </c>
    </row>
    <row r="34" spans="1:7" x14ac:dyDescent="0.25">
      <c r="A34" s="1">
        <v>202032</v>
      </c>
      <c r="B34" s="23">
        <v>43986.031712962962</v>
      </c>
      <c r="C34" s="1" t="s">
        <v>43</v>
      </c>
      <c r="D34" s="1" t="s">
        <v>10</v>
      </c>
      <c r="E34">
        <v>1</v>
      </c>
      <c r="F34" s="35">
        <v>3.49</v>
      </c>
      <c r="G34" s="35">
        <v>3.49</v>
      </c>
    </row>
    <row r="35" spans="1:7" x14ac:dyDescent="0.25">
      <c r="A35" s="1">
        <v>202033</v>
      </c>
      <c r="B35" s="23">
        <v>43986.031712962962</v>
      </c>
      <c r="C35" s="1" t="s">
        <v>43</v>
      </c>
      <c r="D35" s="1" t="s">
        <v>8</v>
      </c>
      <c r="E35">
        <v>1</v>
      </c>
      <c r="F35" s="35">
        <v>5.99</v>
      </c>
      <c r="G35" s="35">
        <v>5.99</v>
      </c>
    </row>
    <row r="36" spans="1:7" x14ac:dyDescent="0.25">
      <c r="A36" s="1">
        <v>202034</v>
      </c>
      <c r="B36" s="23">
        <v>43986.031712962962</v>
      </c>
      <c r="C36" s="1" t="s">
        <v>43</v>
      </c>
      <c r="D36" s="1" t="s">
        <v>10</v>
      </c>
      <c r="E36">
        <v>1</v>
      </c>
      <c r="F36" s="35">
        <v>3.49</v>
      </c>
      <c r="G36" s="35">
        <v>3.49</v>
      </c>
    </row>
    <row r="37" spans="1:7" x14ac:dyDescent="0.25">
      <c r="A37" s="1">
        <v>202035</v>
      </c>
      <c r="B37" s="23">
        <v>43986.033425925925</v>
      </c>
      <c r="C37" s="1" t="s">
        <v>43</v>
      </c>
      <c r="D37" s="1" t="s">
        <v>6</v>
      </c>
      <c r="E37">
        <v>1</v>
      </c>
      <c r="F37" s="35">
        <v>2.99</v>
      </c>
      <c r="G37" s="35">
        <v>2.99</v>
      </c>
    </row>
    <row r="38" spans="1:7" x14ac:dyDescent="0.25">
      <c r="A38" s="1">
        <v>202036</v>
      </c>
      <c r="B38" s="23">
        <v>43986.033425925925</v>
      </c>
      <c r="C38" s="1" t="s">
        <v>43</v>
      </c>
      <c r="D38" s="1" t="s">
        <v>11</v>
      </c>
      <c r="E38">
        <v>1</v>
      </c>
      <c r="F38" s="35">
        <v>1.99</v>
      </c>
      <c r="G38" s="35">
        <v>1.99</v>
      </c>
    </row>
    <row r="39" spans="1:7" x14ac:dyDescent="0.25">
      <c r="A39" s="1">
        <v>202037</v>
      </c>
      <c r="B39" s="23">
        <v>43986.033425925925</v>
      </c>
      <c r="C39" s="1" t="s">
        <v>43</v>
      </c>
      <c r="D39" s="1" t="s">
        <v>10</v>
      </c>
      <c r="E39">
        <v>1</v>
      </c>
      <c r="F39" s="35">
        <v>3.49</v>
      </c>
      <c r="G39" s="35">
        <v>3.49</v>
      </c>
    </row>
    <row r="40" spans="1:7" x14ac:dyDescent="0.25">
      <c r="A40" s="1">
        <v>202038</v>
      </c>
      <c r="B40" s="23">
        <v>43986.033425925925</v>
      </c>
      <c r="C40" s="1" t="s">
        <v>43</v>
      </c>
      <c r="D40" s="1" t="s">
        <v>13</v>
      </c>
      <c r="E40">
        <v>1</v>
      </c>
      <c r="F40" s="35">
        <v>4.95</v>
      </c>
      <c r="G40" s="35">
        <v>4.95</v>
      </c>
    </row>
    <row r="41" spans="1:7" x14ac:dyDescent="0.25">
      <c r="A41" s="1">
        <v>202039</v>
      </c>
      <c r="B41" s="23">
        <v>43986.033425925925</v>
      </c>
      <c r="C41" s="1" t="s">
        <v>43</v>
      </c>
      <c r="D41" s="1" t="s">
        <v>14</v>
      </c>
      <c r="E41">
        <v>1</v>
      </c>
      <c r="F41" s="35">
        <v>4.95</v>
      </c>
      <c r="G41" s="35">
        <v>4.95</v>
      </c>
    </row>
    <row r="42" spans="1:7" x14ac:dyDescent="0.25">
      <c r="A42" s="1">
        <v>202040</v>
      </c>
      <c r="B42" s="23">
        <v>43986.033425925925</v>
      </c>
      <c r="C42" s="1" t="s">
        <v>43</v>
      </c>
      <c r="D42" s="1" t="s">
        <v>45</v>
      </c>
      <c r="E42">
        <v>1</v>
      </c>
      <c r="F42" s="35">
        <v>165</v>
      </c>
      <c r="G42" s="35">
        <v>165</v>
      </c>
    </row>
    <row r="43" spans="1:7" x14ac:dyDescent="0.25">
      <c r="A43" s="1">
        <v>202041</v>
      </c>
      <c r="B43" s="23">
        <v>43986.041712962964</v>
      </c>
      <c r="C43" s="1" t="s">
        <v>43</v>
      </c>
      <c r="D43" s="1" t="s">
        <v>45</v>
      </c>
      <c r="E43">
        <v>1</v>
      </c>
      <c r="F43" s="35">
        <v>165</v>
      </c>
      <c r="G43" s="35">
        <v>165</v>
      </c>
    </row>
    <row r="44" spans="1:7" x14ac:dyDescent="0.25">
      <c r="A44" s="1">
        <v>202042</v>
      </c>
      <c r="B44" s="23">
        <v>43986.041712962964</v>
      </c>
      <c r="C44" s="1" t="s">
        <v>43</v>
      </c>
      <c r="D44" s="1" t="s">
        <v>49</v>
      </c>
      <c r="E44">
        <v>1</v>
      </c>
      <c r="F44" s="35">
        <v>2700</v>
      </c>
      <c r="G44" s="35">
        <v>2700</v>
      </c>
    </row>
    <row r="45" spans="1:7" x14ac:dyDescent="0.25">
      <c r="A45" s="1">
        <v>202043</v>
      </c>
      <c r="B45" s="23">
        <v>43986.041712962964</v>
      </c>
      <c r="C45" s="1" t="s">
        <v>43</v>
      </c>
      <c r="D45" s="1" t="s">
        <v>47</v>
      </c>
      <c r="E45">
        <v>15</v>
      </c>
      <c r="F45" s="35">
        <v>765</v>
      </c>
      <c r="G45" s="35">
        <v>11475</v>
      </c>
    </row>
    <row r="46" spans="1:7" x14ac:dyDescent="0.25">
      <c r="A46" s="1">
        <v>202044</v>
      </c>
      <c r="B46" s="23">
        <v>43986.041712962964</v>
      </c>
      <c r="C46" s="1" t="s">
        <v>43</v>
      </c>
      <c r="D46" s="1" t="s">
        <v>45</v>
      </c>
      <c r="E46">
        <v>150</v>
      </c>
      <c r="F46" s="35">
        <v>165</v>
      </c>
      <c r="G46" s="35">
        <v>24750</v>
      </c>
    </row>
    <row r="47" spans="1:7" x14ac:dyDescent="0.25">
      <c r="A47" s="1">
        <v>202045</v>
      </c>
      <c r="B47" s="23">
        <v>43986.041712962964</v>
      </c>
      <c r="C47" s="1" t="s">
        <v>43</v>
      </c>
      <c r="D47" s="1" t="s">
        <v>45</v>
      </c>
      <c r="E47">
        <v>1</v>
      </c>
      <c r="F47" s="35">
        <v>165</v>
      </c>
      <c r="G47" s="35">
        <v>165</v>
      </c>
    </row>
    <row r="48" spans="1:7" x14ac:dyDescent="0.25">
      <c r="A48" s="1">
        <v>202046</v>
      </c>
      <c r="B48" s="23">
        <v>43986.041712962964</v>
      </c>
      <c r="C48" s="1" t="s">
        <v>43</v>
      </c>
      <c r="D48" s="1" t="s">
        <v>45</v>
      </c>
      <c r="E48">
        <v>1</v>
      </c>
      <c r="F48" s="35">
        <v>165</v>
      </c>
      <c r="G48" s="35">
        <v>165</v>
      </c>
    </row>
    <row r="49" spans="1:7" x14ac:dyDescent="0.25">
      <c r="A49" s="1">
        <v>202047</v>
      </c>
      <c r="B49" s="23">
        <v>43986.08734953704</v>
      </c>
      <c r="C49" s="1" t="s">
        <v>43</v>
      </c>
      <c r="D49" s="1" t="s">
        <v>45</v>
      </c>
      <c r="E49">
        <v>1</v>
      </c>
      <c r="F49" s="35">
        <v>165</v>
      </c>
      <c r="G49" s="35">
        <v>165</v>
      </c>
    </row>
    <row r="50" spans="1:7" x14ac:dyDescent="0.25">
      <c r="A50" s="1">
        <v>202048</v>
      </c>
      <c r="B50" s="23">
        <v>43986.08734953704</v>
      </c>
      <c r="C50" s="1" t="s">
        <v>43</v>
      </c>
      <c r="D50" s="1" t="s">
        <v>45</v>
      </c>
      <c r="E50">
        <v>1</v>
      </c>
      <c r="F50" s="35">
        <v>165</v>
      </c>
      <c r="G50" s="35">
        <v>165</v>
      </c>
    </row>
    <row r="51" spans="1:7" x14ac:dyDescent="0.25">
      <c r="A51" s="1">
        <v>202049</v>
      </c>
      <c r="B51" s="23">
        <v>43986.08734953704</v>
      </c>
      <c r="C51" s="1" t="s">
        <v>43</v>
      </c>
      <c r="D51" s="1" t="s">
        <v>45</v>
      </c>
      <c r="E51">
        <v>1</v>
      </c>
      <c r="F51" s="35">
        <v>165</v>
      </c>
      <c r="G51" s="35">
        <v>165</v>
      </c>
    </row>
    <row r="52" spans="1:7" x14ac:dyDescent="0.25">
      <c r="A52" s="1">
        <v>202050</v>
      </c>
      <c r="C52" s="1"/>
      <c r="D52" s="1"/>
    </row>
    <row r="53" spans="1:7" x14ac:dyDescent="0.25">
      <c r="A53">
        <v>1001</v>
      </c>
      <c r="B53" s="23">
        <v>43986.094594907408</v>
      </c>
      <c r="C53" t="s">
        <v>43</v>
      </c>
      <c r="D53" s="37" t="s">
        <v>45</v>
      </c>
      <c r="E53">
        <v>1</v>
      </c>
      <c r="F53" s="35">
        <v>165</v>
      </c>
      <c r="G53" s="35">
        <v>165</v>
      </c>
    </row>
    <row r="54" spans="1:7" x14ac:dyDescent="0.25">
      <c r="A54">
        <v>1001</v>
      </c>
      <c r="B54" s="23">
        <v>43986.094594907408</v>
      </c>
      <c r="C54" t="s">
        <v>43</v>
      </c>
      <c r="D54" s="37" t="s">
        <v>47</v>
      </c>
      <c r="E54">
        <v>1</v>
      </c>
      <c r="F54" s="35">
        <v>765</v>
      </c>
      <c r="G54" s="35">
        <v>765</v>
      </c>
    </row>
    <row r="55" spans="1:7" x14ac:dyDescent="0.25">
      <c r="A55">
        <v>202001</v>
      </c>
      <c r="B55" s="23">
        <v>43986.094861111109</v>
      </c>
      <c r="C55" t="s">
        <v>43</v>
      </c>
      <c r="D55" s="37" t="s">
        <v>32</v>
      </c>
      <c r="E55" t="s">
        <v>33</v>
      </c>
      <c r="F55" s="35" t="s">
        <v>4</v>
      </c>
      <c r="G55" s="35" t="s">
        <v>18</v>
      </c>
    </row>
    <row r="56" spans="1:7" x14ac:dyDescent="0.25">
      <c r="A56">
        <v>202001</v>
      </c>
      <c r="B56" s="23">
        <v>43986.146539351852</v>
      </c>
      <c r="C56" t="s">
        <v>43</v>
      </c>
      <c r="D56" s="37" t="s">
        <v>32</v>
      </c>
      <c r="E56" t="s">
        <v>33</v>
      </c>
      <c r="F56" s="35" t="s">
        <v>4</v>
      </c>
      <c r="G56" s="35" t="s">
        <v>18</v>
      </c>
    </row>
    <row r="57" spans="1:7" x14ac:dyDescent="0.25">
      <c r="A57">
        <v>202001</v>
      </c>
      <c r="B57" s="23">
        <v>43986.147465277776</v>
      </c>
      <c r="C57" t="s">
        <v>43</v>
      </c>
      <c r="D57" s="37" t="s">
        <v>32</v>
      </c>
      <c r="E57" t="s">
        <v>33</v>
      </c>
      <c r="F57" s="35" t="s">
        <v>4</v>
      </c>
      <c r="G57" s="35" t="s">
        <v>18</v>
      </c>
    </row>
    <row r="58" spans="1:7" x14ac:dyDescent="0.25">
      <c r="A58">
        <v>202001</v>
      </c>
      <c r="B58" s="23">
        <v>43986.147476851853</v>
      </c>
      <c r="C58" t="s">
        <v>43</v>
      </c>
      <c r="D58" s="37" t="s">
        <v>32</v>
      </c>
      <c r="E58" t="s">
        <v>33</v>
      </c>
      <c r="F58" s="35" t="s">
        <v>4</v>
      </c>
      <c r="G58" s="35" t="s">
        <v>18</v>
      </c>
    </row>
    <row r="59" spans="1:7" x14ac:dyDescent="0.25">
      <c r="A59">
        <v>202001</v>
      </c>
      <c r="B59" s="23">
        <v>43986.147488425922</v>
      </c>
      <c r="C59" t="s">
        <v>43</v>
      </c>
      <c r="D59" s="37" t="s">
        <v>32</v>
      </c>
      <c r="E59" t="s">
        <v>33</v>
      </c>
      <c r="F59" s="35" t="s">
        <v>4</v>
      </c>
      <c r="G59" s="35" t="s">
        <v>18</v>
      </c>
    </row>
    <row r="60" spans="1:7" x14ac:dyDescent="0.25">
      <c r="A60">
        <v>202001</v>
      </c>
      <c r="B60" s="23">
        <v>43986.147511574076</v>
      </c>
      <c r="C60" t="s">
        <v>43</v>
      </c>
      <c r="D60" s="37" t="s">
        <v>32</v>
      </c>
      <c r="E60" t="s">
        <v>33</v>
      </c>
      <c r="F60" s="35" t="s">
        <v>4</v>
      </c>
      <c r="G60" s="35" t="s">
        <v>18</v>
      </c>
    </row>
    <row r="61" spans="1:7" x14ac:dyDescent="0.25">
      <c r="A61">
        <v>202001</v>
      </c>
      <c r="B61" s="23">
        <v>43986.147534722222</v>
      </c>
      <c r="C61" t="s">
        <v>43</v>
      </c>
      <c r="D61" s="37" t="s">
        <v>32</v>
      </c>
      <c r="E61" t="s">
        <v>33</v>
      </c>
      <c r="F61" s="35" t="s">
        <v>4</v>
      </c>
      <c r="G61" s="35" t="s">
        <v>18</v>
      </c>
    </row>
    <row r="62" spans="1:7" x14ac:dyDescent="0.25">
      <c r="A62">
        <v>202001</v>
      </c>
      <c r="B62" s="23">
        <v>43986.147546296299</v>
      </c>
      <c r="C62" t="s">
        <v>43</v>
      </c>
      <c r="D62" s="37" t="s">
        <v>32</v>
      </c>
      <c r="E62" t="s">
        <v>33</v>
      </c>
      <c r="F62" s="35" t="s">
        <v>4</v>
      </c>
      <c r="G62" s="35" t="s">
        <v>18</v>
      </c>
    </row>
    <row r="63" spans="1:7" x14ac:dyDescent="0.25">
      <c r="A63">
        <v>202001</v>
      </c>
      <c r="B63" s="23">
        <v>43986.147615740738</v>
      </c>
      <c r="C63" t="s">
        <v>43</v>
      </c>
      <c r="D63" s="37" t="s">
        <v>32</v>
      </c>
      <c r="E63" t="s">
        <v>33</v>
      </c>
      <c r="F63" s="35" t="s">
        <v>4</v>
      </c>
      <c r="G63" s="35" t="s">
        <v>18</v>
      </c>
    </row>
    <row r="64" spans="1:7" x14ac:dyDescent="0.25">
      <c r="A64">
        <v>202001</v>
      </c>
      <c r="B64" s="23">
        <v>43986.147719907407</v>
      </c>
      <c r="C64" t="s">
        <v>43</v>
      </c>
      <c r="D64" s="37" t="s">
        <v>32</v>
      </c>
      <c r="E64" t="s">
        <v>33</v>
      </c>
      <c r="F64" s="35" t="s">
        <v>4</v>
      </c>
      <c r="G64" s="35" t="s">
        <v>18</v>
      </c>
    </row>
    <row r="65" spans="1:7" x14ac:dyDescent="0.25">
      <c r="A65">
        <v>202001</v>
      </c>
      <c r="B65" s="23">
        <v>43986.147719907407</v>
      </c>
      <c r="C65" t="s">
        <v>43</v>
      </c>
      <c r="E65">
        <v>1</v>
      </c>
      <c r="G65" s="35">
        <v>0</v>
      </c>
    </row>
    <row r="66" spans="1:7" x14ac:dyDescent="0.25">
      <c r="A66">
        <v>202001</v>
      </c>
      <c r="B66" s="23">
        <v>43986.14880787037</v>
      </c>
      <c r="C66" t="s">
        <v>43</v>
      </c>
      <c r="D66" s="37" t="s">
        <v>32</v>
      </c>
      <c r="E66" t="s">
        <v>33</v>
      </c>
      <c r="F66" s="35" t="s">
        <v>4</v>
      </c>
      <c r="G66" s="35" t="s">
        <v>18</v>
      </c>
    </row>
    <row r="67" spans="1:7" x14ac:dyDescent="0.25">
      <c r="A67">
        <v>202001</v>
      </c>
      <c r="B67" s="23">
        <v>43986.148831018516</v>
      </c>
      <c r="C67" t="s">
        <v>43</v>
      </c>
      <c r="D67" s="37" t="s">
        <v>32</v>
      </c>
      <c r="E67" t="s">
        <v>33</v>
      </c>
      <c r="F67" s="35" t="s">
        <v>4</v>
      </c>
      <c r="G67" s="35" t="s">
        <v>18</v>
      </c>
    </row>
    <row r="68" spans="1:7" x14ac:dyDescent="0.25">
      <c r="A68">
        <v>202001</v>
      </c>
      <c r="B68" s="23">
        <v>43986.167812500003</v>
      </c>
      <c r="C68" t="s">
        <v>43</v>
      </c>
      <c r="D68" s="37" t="s">
        <v>32</v>
      </c>
      <c r="E68" t="s">
        <v>33</v>
      </c>
      <c r="F68" s="35" t="s">
        <v>4</v>
      </c>
      <c r="G68" s="35" t="s">
        <v>18</v>
      </c>
    </row>
    <row r="69" spans="1:7" x14ac:dyDescent="0.25">
      <c r="A69">
        <v>202001</v>
      </c>
      <c r="B69" s="23">
        <v>43986.167824074073</v>
      </c>
      <c r="C69" t="s">
        <v>43</v>
      </c>
      <c r="D69" s="37" t="s">
        <v>32</v>
      </c>
      <c r="E69" t="s">
        <v>33</v>
      </c>
      <c r="F69" s="35" t="s">
        <v>4</v>
      </c>
      <c r="G69" s="35" t="s">
        <v>18</v>
      </c>
    </row>
    <row r="70" spans="1:7" x14ac:dyDescent="0.25">
      <c r="A70">
        <v>202001</v>
      </c>
      <c r="B70" s="23">
        <v>43986.16783564815</v>
      </c>
      <c r="C70" t="s">
        <v>43</v>
      </c>
      <c r="D70" s="37" t="s">
        <v>32</v>
      </c>
      <c r="E70" t="s">
        <v>33</v>
      </c>
      <c r="F70" s="35" t="s">
        <v>4</v>
      </c>
      <c r="G70" s="35" t="s">
        <v>18</v>
      </c>
    </row>
    <row r="71" spans="1:7" x14ac:dyDescent="0.25">
      <c r="A71">
        <v>202001</v>
      </c>
      <c r="B71" s="23">
        <v>43986.16783564815</v>
      </c>
      <c r="C71" t="s">
        <v>43</v>
      </c>
      <c r="D71" s="37" t="s">
        <v>32</v>
      </c>
      <c r="E71" t="s">
        <v>33</v>
      </c>
      <c r="F71" s="35" t="s">
        <v>4</v>
      </c>
      <c r="G71" s="35" t="s">
        <v>18</v>
      </c>
    </row>
    <row r="72" spans="1:7" x14ac:dyDescent="0.25">
      <c r="A72">
        <v>202001</v>
      </c>
      <c r="B72" s="23">
        <v>43986.167847222219</v>
      </c>
      <c r="C72" t="s">
        <v>43</v>
      </c>
      <c r="D72" s="37" t="s">
        <v>32</v>
      </c>
      <c r="E72" t="s">
        <v>33</v>
      </c>
      <c r="F72" s="35" t="s">
        <v>4</v>
      </c>
      <c r="G72" s="35" t="s">
        <v>18</v>
      </c>
    </row>
    <row r="73" spans="1:7" x14ac:dyDescent="0.25">
      <c r="A73">
        <v>202001</v>
      </c>
      <c r="B73" s="23">
        <v>43986.167847222219</v>
      </c>
      <c r="C73" t="s">
        <v>43</v>
      </c>
      <c r="D73" s="37" t="s">
        <v>32</v>
      </c>
      <c r="E73" t="s">
        <v>33</v>
      </c>
      <c r="F73" s="35" t="s">
        <v>4</v>
      </c>
      <c r="G73" s="35" t="s">
        <v>18</v>
      </c>
    </row>
    <row r="74" spans="1:7" x14ac:dyDescent="0.25">
      <c r="A74">
        <v>202001</v>
      </c>
      <c r="B74" s="23">
        <v>43986.167858796296</v>
      </c>
      <c r="C74" t="s">
        <v>43</v>
      </c>
      <c r="D74" s="37" t="s">
        <v>32</v>
      </c>
      <c r="E74" t="s">
        <v>33</v>
      </c>
      <c r="F74" s="35" t="s">
        <v>4</v>
      </c>
      <c r="G74" s="35" t="s">
        <v>18</v>
      </c>
    </row>
    <row r="75" spans="1:7" x14ac:dyDescent="0.25">
      <c r="A75">
        <v>202001</v>
      </c>
      <c r="B75" s="23">
        <v>43986.167858796296</v>
      </c>
      <c r="C75" t="s">
        <v>43</v>
      </c>
    </row>
    <row r="76" spans="1:7" x14ac:dyDescent="0.25">
      <c r="A76">
        <v>202001</v>
      </c>
      <c r="B76" s="23">
        <v>43986.168078703704</v>
      </c>
      <c r="C76" t="s">
        <v>43</v>
      </c>
      <c r="D76" s="37" t="s">
        <v>32</v>
      </c>
      <c r="E76" t="s">
        <v>33</v>
      </c>
      <c r="F76" s="35" t="s">
        <v>4</v>
      </c>
      <c r="G76" s="35" t="s">
        <v>18</v>
      </c>
    </row>
    <row r="77" spans="1:7" x14ac:dyDescent="0.25">
      <c r="A77">
        <v>202001</v>
      </c>
      <c r="B77" s="23">
        <v>43986.168483796297</v>
      </c>
      <c r="C77" t="s">
        <v>43</v>
      </c>
      <c r="D77" s="37" t="s">
        <v>32</v>
      </c>
      <c r="E77" t="s">
        <v>33</v>
      </c>
      <c r="F77" s="35" t="s">
        <v>4</v>
      </c>
      <c r="G77" s="35" t="s">
        <v>18</v>
      </c>
    </row>
    <row r="78" spans="1:7" x14ac:dyDescent="0.25">
      <c r="A78">
        <v>202001</v>
      </c>
      <c r="B78" s="23">
        <v>43986.168506944443</v>
      </c>
      <c r="C78" t="s">
        <v>43</v>
      </c>
      <c r="D78" s="37" t="s">
        <v>32</v>
      </c>
      <c r="E78" t="s">
        <v>33</v>
      </c>
      <c r="F78" s="35" t="s">
        <v>4</v>
      </c>
      <c r="G78" s="35" t="s">
        <v>18</v>
      </c>
    </row>
    <row r="79" spans="1:7" x14ac:dyDescent="0.25">
      <c r="A79">
        <v>202001</v>
      </c>
      <c r="B79" s="23">
        <v>43986.168506944443</v>
      </c>
      <c r="C79" t="s">
        <v>43</v>
      </c>
      <c r="D79" s="37" t="s">
        <v>32</v>
      </c>
      <c r="E79" t="s">
        <v>33</v>
      </c>
      <c r="F79" s="35" t="s">
        <v>4</v>
      </c>
      <c r="G79" s="35" t="s">
        <v>18</v>
      </c>
    </row>
    <row r="80" spans="1:7" x14ac:dyDescent="0.25">
      <c r="A80">
        <v>202001</v>
      </c>
      <c r="B80" s="23">
        <v>43986.168564814812</v>
      </c>
      <c r="C80" t="s">
        <v>43</v>
      </c>
      <c r="D80" s="37" t="s">
        <v>32</v>
      </c>
      <c r="E80" t="s">
        <v>33</v>
      </c>
      <c r="F80" s="35" t="s">
        <v>4</v>
      </c>
      <c r="G80" s="35" t="s">
        <v>18</v>
      </c>
    </row>
    <row r="81" spans="1:7" x14ac:dyDescent="0.25">
      <c r="A81">
        <v>202001</v>
      </c>
      <c r="B81" s="23">
        <v>43986.168564814812</v>
      </c>
      <c r="C81" t="s">
        <v>43</v>
      </c>
      <c r="D81" s="37" t="s">
        <v>32</v>
      </c>
      <c r="E81" t="s">
        <v>33</v>
      </c>
      <c r="F81" s="35" t="s">
        <v>4</v>
      </c>
      <c r="G81" s="35" t="s">
        <v>18</v>
      </c>
    </row>
    <row r="82" spans="1:7" x14ac:dyDescent="0.25">
      <c r="A82">
        <v>202001</v>
      </c>
      <c r="B82" s="23">
        <v>43986.168587962966</v>
      </c>
      <c r="C82" t="s">
        <v>43</v>
      </c>
      <c r="D82" s="37" t="s">
        <v>32</v>
      </c>
      <c r="E82" t="s">
        <v>33</v>
      </c>
      <c r="F82" s="35" t="s">
        <v>4</v>
      </c>
      <c r="G82" s="35" t="s">
        <v>18</v>
      </c>
    </row>
    <row r="83" spans="1:7" x14ac:dyDescent="0.25">
      <c r="A83">
        <v>202001</v>
      </c>
      <c r="B83" s="23">
        <v>43986.168587962966</v>
      </c>
      <c r="C83" t="s">
        <v>43</v>
      </c>
      <c r="D83" s="37" t="s">
        <v>32</v>
      </c>
      <c r="E83" t="s">
        <v>33</v>
      </c>
      <c r="F83" s="35" t="s">
        <v>4</v>
      </c>
      <c r="G83" s="35" t="s">
        <v>18</v>
      </c>
    </row>
    <row r="84" spans="1:7" x14ac:dyDescent="0.25">
      <c r="A84">
        <v>202001</v>
      </c>
      <c r="B84" s="23">
        <v>43986.168703703705</v>
      </c>
      <c r="C84" t="s">
        <v>43</v>
      </c>
      <c r="D84" s="37" t="s">
        <v>32</v>
      </c>
      <c r="E84" t="s">
        <v>33</v>
      </c>
      <c r="F84" s="35" t="s">
        <v>4</v>
      </c>
      <c r="G84" s="35" t="s">
        <v>18</v>
      </c>
    </row>
    <row r="85" spans="1:7" x14ac:dyDescent="0.25">
      <c r="A85">
        <v>202001</v>
      </c>
      <c r="B85" s="23">
        <v>43986.168726851851</v>
      </c>
      <c r="C85" t="s">
        <v>43</v>
      </c>
      <c r="D85" s="37" t="s">
        <v>32</v>
      </c>
      <c r="E85" t="s">
        <v>33</v>
      </c>
      <c r="F85" s="35" t="s">
        <v>4</v>
      </c>
      <c r="G85" s="35" t="s">
        <v>18</v>
      </c>
    </row>
    <row r="86" spans="1:7" x14ac:dyDescent="0.25">
      <c r="A86">
        <v>202001</v>
      </c>
      <c r="B86" s="23">
        <v>43986.168738425928</v>
      </c>
      <c r="C86" t="s">
        <v>43</v>
      </c>
      <c r="D86" s="37" t="s">
        <v>32</v>
      </c>
      <c r="E86" t="s">
        <v>33</v>
      </c>
      <c r="F86" s="35" t="s">
        <v>4</v>
      </c>
      <c r="G86" s="35" t="s">
        <v>18</v>
      </c>
    </row>
    <row r="87" spans="1:7" x14ac:dyDescent="0.25">
      <c r="A87">
        <v>202001</v>
      </c>
      <c r="B87" s="23">
        <v>43986.177719907406</v>
      </c>
      <c r="C87" t="s">
        <v>43</v>
      </c>
      <c r="D87" s="37" t="s">
        <v>32</v>
      </c>
      <c r="E87" t="s">
        <v>33</v>
      </c>
      <c r="F87" s="35" t="s">
        <v>4</v>
      </c>
      <c r="G87" s="35" t="s">
        <v>18</v>
      </c>
    </row>
    <row r="88" spans="1:7" x14ac:dyDescent="0.25">
      <c r="A88">
        <v>202051</v>
      </c>
      <c r="B88" s="23">
        <v>43986.177754629629</v>
      </c>
      <c r="C88" t="s">
        <v>43</v>
      </c>
      <c r="D88" s="37" t="s">
        <v>32</v>
      </c>
      <c r="E88" t="s">
        <v>33</v>
      </c>
      <c r="F88" s="35" t="s">
        <v>4</v>
      </c>
      <c r="G88" s="35" t="s">
        <v>18</v>
      </c>
    </row>
    <row r="89" spans="1:7" x14ac:dyDescent="0.25">
      <c r="A89">
        <v>202052</v>
      </c>
      <c r="B89" s="23">
        <v>43986.177777777775</v>
      </c>
      <c r="C89" t="s">
        <v>43</v>
      </c>
      <c r="D89" s="37" t="s">
        <v>32</v>
      </c>
      <c r="E89" t="s">
        <v>33</v>
      </c>
      <c r="F89" s="35" t="s">
        <v>4</v>
      </c>
      <c r="G89" s="35" t="s">
        <v>18</v>
      </c>
    </row>
    <row r="90" spans="1:7" x14ac:dyDescent="0.25">
      <c r="A90">
        <v>202053</v>
      </c>
      <c r="B90" s="23">
        <v>43986.177800925929</v>
      </c>
      <c r="C90" t="s">
        <v>43</v>
      </c>
      <c r="D90" s="37" t="s">
        <v>32</v>
      </c>
      <c r="E90" t="s">
        <v>33</v>
      </c>
      <c r="F90" s="35" t="s">
        <v>4</v>
      </c>
      <c r="G90" s="35" t="s">
        <v>18</v>
      </c>
    </row>
    <row r="91" spans="1:7" x14ac:dyDescent="0.25">
      <c r="A91">
        <v>202054</v>
      </c>
      <c r="B91" s="23">
        <v>43986.177812499998</v>
      </c>
      <c r="C91" t="s">
        <v>43</v>
      </c>
      <c r="D91" s="37" t="s">
        <v>32</v>
      </c>
      <c r="E91" t="s">
        <v>33</v>
      </c>
      <c r="F91" s="35" t="s">
        <v>4</v>
      </c>
      <c r="G91" s="35" t="s">
        <v>18</v>
      </c>
    </row>
    <row r="92" spans="1:7" x14ac:dyDescent="0.25">
      <c r="A92">
        <v>202055</v>
      </c>
      <c r="B92" s="23">
        <v>43986.177824074075</v>
      </c>
      <c r="C92" t="s">
        <v>43</v>
      </c>
      <c r="D92" s="37" t="s">
        <v>32</v>
      </c>
      <c r="E92" t="s">
        <v>33</v>
      </c>
      <c r="F92" s="35" t="s">
        <v>4</v>
      </c>
      <c r="G92" s="35" t="s">
        <v>18</v>
      </c>
    </row>
    <row r="93" spans="1:7" x14ac:dyDescent="0.25">
      <c r="A93">
        <v>202056</v>
      </c>
      <c r="B93" s="23">
        <v>43986.177835648145</v>
      </c>
      <c r="C93" t="s">
        <v>43</v>
      </c>
      <c r="D93" s="37" t="s">
        <v>32</v>
      </c>
      <c r="E93" t="s">
        <v>33</v>
      </c>
      <c r="F93" s="35" t="s">
        <v>4</v>
      </c>
      <c r="G93" s="35" t="s">
        <v>18</v>
      </c>
    </row>
    <row r="94" spans="1:7" x14ac:dyDescent="0.25">
      <c r="A94">
        <v>202057</v>
      </c>
      <c r="B94" s="23">
        <v>43986.177847222221</v>
      </c>
      <c r="C94" t="s">
        <v>43</v>
      </c>
      <c r="D94" s="37" t="s">
        <v>32</v>
      </c>
      <c r="E94" t="s">
        <v>33</v>
      </c>
      <c r="F94" s="35" t="s">
        <v>4</v>
      </c>
      <c r="G94" s="35" t="s">
        <v>18</v>
      </c>
    </row>
    <row r="95" spans="1:7" x14ac:dyDescent="0.25">
      <c r="A95">
        <v>202058</v>
      </c>
      <c r="B95" s="23">
        <v>43986.177858796298</v>
      </c>
      <c r="C95" t="s">
        <v>43</v>
      </c>
      <c r="D95" s="37" t="s">
        <v>32</v>
      </c>
      <c r="E95" t="s">
        <v>33</v>
      </c>
      <c r="F95" s="35" t="s">
        <v>4</v>
      </c>
      <c r="G95" s="35" t="s">
        <v>18</v>
      </c>
    </row>
    <row r="96" spans="1:7" x14ac:dyDescent="0.25">
      <c r="A96">
        <v>202059</v>
      </c>
      <c r="B96" s="23">
        <v>43986.178055555552</v>
      </c>
      <c r="C96" t="s">
        <v>43</v>
      </c>
      <c r="D96" s="37" t="s">
        <v>32</v>
      </c>
      <c r="E96" t="s">
        <v>33</v>
      </c>
      <c r="F96" s="35" t="s">
        <v>4</v>
      </c>
      <c r="G96" s="35" t="s">
        <v>18</v>
      </c>
    </row>
    <row r="97" spans="1:7" x14ac:dyDescent="0.25">
      <c r="A97">
        <v>202060</v>
      </c>
      <c r="B97" s="23">
        <v>43986.178067129629</v>
      </c>
      <c r="C97" t="s">
        <v>43</v>
      </c>
      <c r="D97" s="37" t="s">
        <v>32</v>
      </c>
      <c r="E97" t="s">
        <v>33</v>
      </c>
      <c r="F97" s="35" t="s">
        <v>4</v>
      </c>
      <c r="G97" s="35" t="s">
        <v>18</v>
      </c>
    </row>
    <row r="98" spans="1:7" x14ac:dyDescent="0.25">
      <c r="A98">
        <v>202061</v>
      </c>
      <c r="B98" s="23">
        <v>43986.178078703706</v>
      </c>
      <c r="C98" t="s">
        <v>43</v>
      </c>
      <c r="D98" s="37" t="s">
        <v>32</v>
      </c>
      <c r="E98" t="s">
        <v>33</v>
      </c>
      <c r="F98" s="35" t="s">
        <v>4</v>
      </c>
      <c r="G98" s="35" t="s">
        <v>18</v>
      </c>
    </row>
    <row r="99" spans="1:7" x14ac:dyDescent="0.25">
      <c r="A99">
        <v>202061</v>
      </c>
      <c r="B99" s="23">
        <v>43986.178078703706</v>
      </c>
      <c r="C99" t="s">
        <v>43</v>
      </c>
    </row>
    <row r="100" spans="1:7" x14ac:dyDescent="0.25">
      <c r="A100">
        <v>202062</v>
      </c>
      <c r="B100" s="23">
        <v>43986.17869212963</v>
      </c>
      <c r="C100" t="s">
        <v>43</v>
      </c>
      <c r="D100" s="37" t="s">
        <v>49</v>
      </c>
      <c r="E100">
        <v>1</v>
      </c>
      <c r="F100" s="35">
        <v>2700</v>
      </c>
      <c r="G100" s="35">
        <v>2700</v>
      </c>
    </row>
    <row r="101" spans="1:7" x14ac:dyDescent="0.25">
      <c r="A101">
        <v>202063</v>
      </c>
      <c r="B101" s="23">
        <v>43986.179166666669</v>
      </c>
      <c r="C101" t="s">
        <v>43</v>
      </c>
      <c r="D101" s="37" t="s">
        <v>32</v>
      </c>
      <c r="E101" t="s">
        <v>33</v>
      </c>
      <c r="F101" s="35" t="s">
        <v>4</v>
      </c>
      <c r="G101" s="35" t="s">
        <v>18</v>
      </c>
    </row>
    <row r="102" spans="1:7" x14ac:dyDescent="0.25">
      <c r="A102">
        <v>202063</v>
      </c>
      <c r="B102" s="23">
        <v>43986.179166666669</v>
      </c>
      <c r="C102" t="s">
        <v>43</v>
      </c>
    </row>
    <row r="103" spans="1:7" x14ac:dyDescent="0.25">
      <c r="A103">
        <v>202064</v>
      </c>
      <c r="B103" s="23">
        <v>43986.199953703705</v>
      </c>
      <c r="C103" t="s">
        <v>43</v>
      </c>
      <c r="D103" s="37" t="s">
        <v>45</v>
      </c>
      <c r="E103">
        <v>1</v>
      </c>
      <c r="F103" s="35">
        <v>165</v>
      </c>
      <c r="G103" s="35">
        <v>165</v>
      </c>
    </row>
    <row r="104" spans="1:7" x14ac:dyDescent="0.25">
      <c r="A104">
        <v>202064</v>
      </c>
      <c r="B104" s="23">
        <v>43986.199953703705</v>
      </c>
      <c r="C104" t="s">
        <v>43</v>
      </c>
      <c r="D104" s="37" t="s">
        <v>45</v>
      </c>
      <c r="E104">
        <v>1</v>
      </c>
      <c r="F104" s="35">
        <v>165</v>
      </c>
      <c r="G104" s="35">
        <v>165</v>
      </c>
    </row>
    <row r="105" spans="1:7" x14ac:dyDescent="0.25">
      <c r="A105">
        <v>202064</v>
      </c>
      <c r="B105" s="23">
        <v>43986.199953703705</v>
      </c>
      <c r="C105" t="s">
        <v>43</v>
      </c>
      <c r="D105" s="37" t="s">
        <v>45</v>
      </c>
      <c r="E105">
        <v>1</v>
      </c>
      <c r="F105" s="35">
        <v>165</v>
      </c>
      <c r="G105" s="35">
        <v>165</v>
      </c>
    </row>
    <row r="106" spans="1:7" x14ac:dyDescent="0.25">
      <c r="A106">
        <v>202066</v>
      </c>
      <c r="B106" s="23">
        <v>43986.210682870369</v>
      </c>
      <c r="C106" t="s">
        <v>43</v>
      </c>
      <c r="D106" s="37" t="s">
        <v>32</v>
      </c>
      <c r="E106" t="s">
        <v>33</v>
      </c>
      <c r="F106" s="35" t="s">
        <v>4</v>
      </c>
      <c r="G106" s="35" t="s">
        <v>18</v>
      </c>
    </row>
    <row r="107" spans="1:7" x14ac:dyDescent="0.25">
      <c r="A107">
        <v>202066</v>
      </c>
      <c r="B107" s="23">
        <v>43986.210682870369</v>
      </c>
      <c r="C107" t="s">
        <v>43</v>
      </c>
    </row>
    <row r="108" spans="1:7" x14ac:dyDescent="0.25">
      <c r="A108">
        <v>202067</v>
      </c>
      <c r="B108" s="23">
        <v>43987.042384259257</v>
      </c>
      <c r="C108" t="s">
        <v>51</v>
      </c>
      <c r="D108" s="37" t="s">
        <v>45</v>
      </c>
      <c r="E108">
        <v>1</v>
      </c>
      <c r="F108" s="35">
        <v>165</v>
      </c>
      <c r="G108" s="35">
        <v>165</v>
      </c>
    </row>
    <row r="109" spans="1:7" x14ac:dyDescent="0.25">
      <c r="A109">
        <v>202067</v>
      </c>
      <c r="B109" s="23">
        <v>43987.042384259257</v>
      </c>
      <c r="C109" t="s">
        <v>51</v>
      </c>
      <c r="D109" s="37" t="s">
        <v>47</v>
      </c>
      <c r="E109">
        <v>10</v>
      </c>
      <c r="F109" s="35">
        <v>765</v>
      </c>
      <c r="G109" s="35">
        <v>7650</v>
      </c>
    </row>
    <row r="110" spans="1:7" x14ac:dyDescent="0.25">
      <c r="A110">
        <v>202068</v>
      </c>
      <c r="B110" s="23">
        <v>43987.044062499997</v>
      </c>
      <c r="C110" t="s">
        <v>51</v>
      </c>
      <c r="D110" s="37" t="s">
        <v>8</v>
      </c>
      <c r="E110">
        <v>1</v>
      </c>
      <c r="F110" s="35">
        <v>5.99</v>
      </c>
      <c r="G110" s="35">
        <v>5.99</v>
      </c>
    </row>
    <row r="111" spans="1:7" x14ac:dyDescent="0.25">
      <c r="A111">
        <v>202069</v>
      </c>
      <c r="B111" s="23">
        <v>43987.044317129628</v>
      </c>
      <c r="C111" t="s">
        <v>51</v>
      </c>
      <c r="D111" s="37" t="s">
        <v>45</v>
      </c>
      <c r="E111">
        <v>1</v>
      </c>
      <c r="F111" s="35">
        <v>165</v>
      </c>
      <c r="G111" s="35">
        <v>165</v>
      </c>
    </row>
    <row r="112" spans="1:7" x14ac:dyDescent="0.25">
      <c r="A112">
        <v>202070</v>
      </c>
      <c r="B112" s="23">
        <v>43988.854155092595</v>
      </c>
      <c r="C112" t="s">
        <v>53</v>
      </c>
      <c r="D112" s="37" t="s">
        <v>45</v>
      </c>
      <c r="E112">
        <v>1</v>
      </c>
      <c r="F112" s="35">
        <v>165</v>
      </c>
      <c r="G112" s="35">
        <v>165</v>
      </c>
    </row>
    <row r="113" spans="1:7" x14ac:dyDescent="0.25">
      <c r="A113">
        <v>202070</v>
      </c>
      <c r="B113" s="23">
        <v>43988.854155092595</v>
      </c>
      <c r="C113" t="s">
        <v>53</v>
      </c>
      <c r="D113" s="37" t="s">
        <v>45</v>
      </c>
      <c r="E113">
        <v>1</v>
      </c>
      <c r="F113" s="35">
        <v>165</v>
      </c>
      <c r="G113" s="35">
        <v>165</v>
      </c>
    </row>
    <row r="114" spans="1:7" x14ac:dyDescent="0.25">
      <c r="A114">
        <v>202070</v>
      </c>
      <c r="B114" s="23">
        <v>43988.854155092595</v>
      </c>
      <c r="C114" t="s">
        <v>53</v>
      </c>
      <c r="D114" s="37" t="s">
        <v>47</v>
      </c>
      <c r="E114">
        <v>1</v>
      </c>
      <c r="F114" s="35">
        <v>765</v>
      </c>
      <c r="G114" s="35">
        <v>765</v>
      </c>
    </row>
    <row r="115" spans="1:7" x14ac:dyDescent="0.25">
      <c r="A115">
        <v>202070</v>
      </c>
      <c r="B115" s="23">
        <v>43988.854155092595</v>
      </c>
      <c r="C115" t="s">
        <v>53</v>
      </c>
      <c r="D115" s="37" t="s">
        <v>74</v>
      </c>
      <c r="E115">
        <v>1</v>
      </c>
      <c r="G115" s="35">
        <v>0</v>
      </c>
    </row>
    <row r="116" spans="1:7" x14ac:dyDescent="0.25">
      <c r="A116">
        <v>202070</v>
      </c>
      <c r="B116" s="23">
        <v>43988.854155092595</v>
      </c>
      <c r="C116" t="s">
        <v>53</v>
      </c>
      <c r="D116" s="37" t="s">
        <v>62</v>
      </c>
      <c r="E116">
        <v>1</v>
      </c>
      <c r="F116" s="35">
        <v>4.95</v>
      </c>
      <c r="G116" s="35">
        <v>4.95</v>
      </c>
    </row>
    <row r="117" spans="1:7" x14ac:dyDescent="0.25">
      <c r="A117">
        <v>202071</v>
      </c>
      <c r="B117" s="23">
        <v>43993.013252314813</v>
      </c>
      <c r="C117" t="s">
        <v>53</v>
      </c>
      <c r="D117" s="37" t="s">
        <v>90</v>
      </c>
      <c r="E117">
        <v>40</v>
      </c>
      <c r="F117" s="35">
        <v>65.25</v>
      </c>
      <c r="G117" s="35">
        <v>2610</v>
      </c>
    </row>
    <row r="118" spans="1:7" x14ac:dyDescent="0.25">
      <c r="A118">
        <v>202071</v>
      </c>
      <c r="B118" s="23">
        <v>43993.013252314813</v>
      </c>
      <c r="C118" t="s">
        <v>53</v>
      </c>
      <c r="D118" s="37" t="s">
        <v>91</v>
      </c>
      <c r="E118">
        <v>40</v>
      </c>
      <c r="F118" s="35">
        <v>15</v>
      </c>
      <c r="G118" s="35">
        <v>600</v>
      </c>
    </row>
    <row r="119" spans="1:7" x14ac:dyDescent="0.25">
      <c r="A119">
        <v>202072</v>
      </c>
      <c r="B119" s="23">
        <v>43994.089745370373</v>
      </c>
      <c r="C119" t="s">
        <v>53</v>
      </c>
      <c r="D119" s="37" t="s">
        <v>93</v>
      </c>
      <c r="E119">
        <v>10</v>
      </c>
      <c r="F119" s="35">
        <v>5300</v>
      </c>
      <c r="G119" s="35">
        <v>53000</v>
      </c>
    </row>
    <row r="120" spans="1:7" x14ac:dyDescent="0.25">
      <c r="A120">
        <v>202072</v>
      </c>
      <c r="B120" s="23">
        <v>43994.089745370373</v>
      </c>
      <c r="C120" t="s">
        <v>53</v>
      </c>
      <c r="D120" s="37" t="s">
        <v>95</v>
      </c>
      <c r="E120">
        <v>10</v>
      </c>
      <c r="F120" s="35">
        <v>1304.8</v>
      </c>
      <c r="G120" s="35">
        <v>13048</v>
      </c>
    </row>
    <row r="121" spans="1:7" x14ac:dyDescent="0.25">
      <c r="A121">
        <v>202073</v>
      </c>
      <c r="B121" s="23">
        <v>43994.102881944447</v>
      </c>
      <c r="C121" t="s">
        <v>53</v>
      </c>
      <c r="D121" s="37" t="s">
        <v>93</v>
      </c>
      <c r="E121">
        <v>10</v>
      </c>
      <c r="F121" s="35">
        <v>5300</v>
      </c>
      <c r="G121" s="35">
        <v>53000</v>
      </c>
    </row>
    <row r="122" spans="1:7" x14ac:dyDescent="0.25">
      <c r="A122">
        <v>202073</v>
      </c>
      <c r="B122" s="23">
        <v>43994.102881944447</v>
      </c>
      <c r="C122" t="s">
        <v>53</v>
      </c>
      <c r="D122" s="37" t="s">
        <v>95</v>
      </c>
      <c r="E122">
        <v>10</v>
      </c>
      <c r="F122" s="35">
        <v>1304.8</v>
      </c>
      <c r="G122" s="35">
        <v>13048</v>
      </c>
    </row>
    <row r="123" spans="1:7" x14ac:dyDescent="0.25">
      <c r="A123">
        <v>202074</v>
      </c>
      <c r="B123" s="23">
        <v>43998.901631944442</v>
      </c>
      <c r="C123" t="s">
        <v>53</v>
      </c>
      <c r="D123" s="37" t="s">
        <v>93</v>
      </c>
      <c r="E123">
        <v>2</v>
      </c>
      <c r="F123" s="35">
        <v>5300</v>
      </c>
      <c r="G123" s="35">
        <v>10600</v>
      </c>
    </row>
    <row r="124" spans="1:7" x14ac:dyDescent="0.25">
      <c r="A124">
        <v>202074</v>
      </c>
      <c r="B124" s="23">
        <v>43998.901631944442</v>
      </c>
      <c r="C124" t="s">
        <v>53</v>
      </c>
      <c r="D124" s="37" t="s">
        <v>95</v>
      </c>
      <c r="E124">
        <v>3</v>
      </c>
      <c r="F124" s="35">
        <v>1304.8</v>
      </c>
      <c r="G124" s="35">
        <v>3914.3999999999996</v>
      </c>
    </row>
    <row r="125" spans="1:7" x14ac:dyDescent="0.25">
      <c r="A125">
        <v>202074</v>
      </c>
      <c r="B125" s="23">
        <v>43998.901631944442</v>
      </c>
      <c r="C125" t="s">
        <v>53</v>
      </c>
      <c r="D125" s="37" t="s">
        <v>93</v>
      </c>
      <c r="E125">
        <v>1</v>
      </c>
      <c r="F125" s="35">
        <v>6800</v>
      </c>
      <c r="G125" s="35">
        <v>6800</v>
      </c>
    </row>
    <row r="126" spans="1:7" x14ac:dyDescent="0.25">
      <c r="A126">
        <v>202074</v>
      </c>
      <c r="B126" s="23">
        <v>43998.901631944442</v>
      </c>
      <c r="C126" t="s">
        <v>53</v>
      </c>
      <c r="D126" s="37" t="s">
        <v>101</v>
      </c>
      <c r="E126">
        <v>1</v>
      </c>
      <c r="F126" s="35">
        <v>17.8</v>
      </c>
      <c r="G126" s="35">
        <v>17.8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Ashad</cp:lastModifiedBy>
  <cp:lastPrinted>2020-06-11T20:45:14Z</cp:lastPrinted>
  <dcterms:created xsi:type="dcterms:W3CDTF">2020-02-21T23:03:52Z</dcterms:created>
  <dcterms:modified xsi:type="dcterms:W3CDTF">2020-06-16T15:39:34Z</dcterms:modified>
</cp:coreProperties>
</file>